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3-6-2023\muawia 03-06-2026\Agentic-AI-research\results\analysis\"/>
    </mc:Choice>
  </mc:AlternateContent>
  <xr:revisionPtr revIDLastSave="0" documentId="13_ncr:1_{3CF98D82-563F-4B49-8135-169AF9B27AB3}" xr6:coauthVersionLast="47" xr6:coauthVersionMax="47" xr10:uidLastSave="{00000000-0000-0000-0000-000000000000}"/>
  <bookViews>
    <workbookView xWindow="-23148" yWindow="1056" windowWidth="23256" windowHeight="12456" firstSheet="1" activeTab="4" xr2:uid="{57F7D5C2-D45C-42EC-B4CA-9E47A6AE5B19}"/>
  </bookViews>
  <sheets>
    <sheet name="main_001_analysis_dataset" sheetId="6" r:id="rId1"/>
    <sheet name="Workflow_Summary" sheetId="7" r:id="rId2"/>
    <sheet name="Category Analysis" sheetId="8" r:id="rId3"/>
    <sheet name="Difficulty Analysis" sheetId="9" r:id="rId4"/>
    <sheet name="Improvement" sheetId="10" r:id="rId5"/>
    <sheet name="Key Findings" sheetId="11" r:id="rId6"/>
    <sheet name="main_001_90runs" sheetId="5" r:id="rId7"/>
    <sheet name="tasks" sheetId="3" r:id="rId8"/>
  </sheets>
  <definedNames>
    <definedName name="ExternalData_1" localSheetId="6" hidden="1">main_001_90runs!$A$1:$Q$100</definedName>
    <definedName name="ExternalData_1" localSheetId="0" hidden="1">main_001_analysis_dataset!$A$1:$Q$91</definedName>
    <definedName name="ExternalData_1" localSheetId="7" hidden="1">tasks!$A$1:$E$33</definedName>
  </definedNames>
  <calcPr calcId="191029"/>
  <pivotCaches>
    <pivotCache cacheId="0" r:id="rId9"/>
    <pivotCache cacheId="1" r:id="rId10"/>
  </pivotCaches>
</workbook>
</file>

<file path=xl/calcChain.xml><?xml version="1.0" encoding="utf-8"?>
<calcChain xmlns="http://schemas.openxmlformats.org/spreadsheetml/2006/main">
  <c r="H6" i="10" l="1"/>
  <c r="H7" i="10"/>
  <c r="H5" i="10"/>
  <c r="G6" i="10"/>
  <c r="G7" i="10"/>
  <c r="G5" i="10"/>
  <c r="U24" i="6"/>
  <c r="T24" i="6"/>
  <c r="S24" i="6"/>
  <c r="U2" i="6"/>
  <c r="U3" i="6"/>
  <c r="U4" i="6"/>
  <c r="U5" i="6"/>
  <c r="U6" i="6"/>
  <c r="U7" i="6"/>
  <c r="U8" i="6"/>
  <c r="U9" i="6"/>
  <c r="U10" i="6"/>
  <c r="U11" i="6"/>
  <c r="U12" i="6"/>
  <c r="U13" i="6"/>
  <c r="U14" i="6"/>
  <c r="U15" i="6"/>
  <c r="U16" i="6"/>
  <c r="U17" i="6"/>
  <c r="U18" i="6"/>
  <c r="U19" i="6"/>
  <c r="U20" i="6"/>
  <c r="U21" i="6"/>
  <c r="U22" i="6"/>
  <c r="U23"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T2" i="6"/>
  <c r="T3" i="6"/>
  <c r="T4" i="6"/>
  <c r="T5" i="6"/>
  <c r="T6" i="6"/>
  <c r="T7" i="6"/>
  <c r="T8" i="6"/>
  <c r="T9" i="6"/>
  <c r="T10" i="6"/>
  <c r="T11" i="6"/>
  <c r="T12" i="6"/>
  <c r="T13" i="6"/>
  <c r="T14" i="6"/>
  <c r="T15" i="6"/>
  <c r="T16" i="6"/>
  <c r="T17" i="6"/>
  <c r="T18" i="6"/>
  <c r="T19" i="6"/>
  <c r="T20" i="6"/>
  <c r="T21" i="6"/>
  <c r="T22" i="6"/>
  <c r="T23"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S5" i="6"/>
  <c r="S4" i="6"/>
  <c r="S3" i="6"/>
  <c r="S2" i="6"/>
  <c r="S6" i="6"/>
  <c r="S7" i="6"/>
  <c r="S8" i="6"/>
  <c r="S9" i="6"/>
  <c r="S10" i="6"/>
  <c r="S11" i="6"/>
  <c r="S12" i="6"/>
  <c r="S13" i="6"/>
  <c r="S14" i="6"/>
  <c r="S15" i="6"/>
  <c r="S16" i="6"/>
  <c r="S17" i="6"/>
  <c r="S18" i="6"/>
  <c r="S19" i="6"/>
  <c r="S20" i="6"/>
  <c r="S21" i="6"/>
  <c r="S22" i="6"/>
  <c r="S23"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DFED22-6C40-4BF2-BDC7-31A787E5189B}" keepAlive="1" name="Query - main_001_90runs" description="Connection to the 'main_001_90runs' query in the workbook." type="5" refreshedVersion="8" background="1" saveData="1">
    <dbPr connection="Provider=Microsoft.Mashup.OleDb.1;Data Source=$Workbook$;Location=main_001_90runs;Extended Properties=&quot;&quot;" command="SELECT * FROM [main_001_90runs]"/>
  </connection>
  <connection id="2" xr16:uid="{3BED1130-9CC9-4F9A-BDC0-683C5F9FE344}" keepAlive="1" name="Query - main_001_90runs (2)" description="Connection to the 'main_001_90runs (2)' query in the workbook." type="5" refreshedVersion="8" background="1" saveData="1">
    <dbPr connection="Provider=Microsoft.Mashup.OleDb.1;Data Source=$Workbook$;Location=&quot;main_001_90runs (2)&quot;;Extended Properties=&quot;&quot;" command="SELECT * FROM [main_001_90runs (2)]"/>
  </connection>
  <connection id="3" xr16:uid="{6EDB1179-2247-46A8-A506-9CC708127862}"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<sst xmlns="http://schemas.openxmlformats.org/spreadsheetml/2006/main" count="1806" uniqueCount="438">
  <si>
    <t>run_id</t>
  </si>
  <si>
    <t>experiment_id</t>
  </si>
  <si>
    <t>task_id</t>
  </si>
  <si>
    <t>workflow_type</t>
  </si>
  <si>
    <t>timestamp</t>
  </si>
  <si>
    <t>prompt</t>
  </si>
  <si>
    <t>output</t>
  </si>
  <si>
    <t>answer</t>
  </si>
  <si>
    <t>execution_summary</t>
  </si>
  <si>
    <t>confidence</t>
  </si>
  <si>
    <t>quality_score</t>
  </si>
  <si>
    <t>score</t>
  </si>
  <si>
    <t>duration_sec</t>
  </si>
  <si>
    <t>token_estimate</t>
  </si>
  <si>
    <t>success</t>
  </si>
  <si>
    <t>notes</t>
  </si>
  <si>
    <t>reviewer_version</t>
  </si>
  <si>
    <t>pilot_001</t>
  </si>
  <si>
    <t>basic_agent</t>
  </si>
  <si>
    <t>What is TCP and how does it differ from UDP?</t>
  </si>
  <si>
    <t>{
  "task_id": "1",
  "answer": "TCP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
  "execution_summary": "Defined TCP and UDP, highlighting key differences in reliability, connection state, and use cases.",
  "confidence": 1.0
}</t>
  </si>
  <si>
    <t>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t>
  </si>
  <si>
    <t>Defined TCP and UDP, highlighting key differences in reliability, connection state, and use cases.</t>
  </si>
  <si>
    <t>pilot_001_basic_agent</t>
  </si>
  <si>
    <t>planner_executor</t>
  </si>
  <si>
    <t>{
  "task_id": "1",
  "answer": "TCP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
  "execution_summary": "Defined TCP and UDP, compared them based on connection type, reliability, speed, and ordering, and identified their respective use cases.",
  "confidence": 1.0
}</t>
  </si>
  <si>
    <t>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t>
  </si>
  <si>
    <t>Defined TCP and UDP, compared them based on connection type, reliability, speed, and ordering, and identified their respective use cases.</t>
  </si>
  <si>
    <t>pilot_001_planner_executor</t>
  </si>
  <si>
    <t>planner_executor_reviewer</t>
  </si>
  <si>
    <t>{
  "task_id": "1",
  "quality_score": 1.0,
  "review_notes": "The response is academically precise, technically accurate, and logically structured. It correctly identifies the core architectural differences (connection-oriented vs. connectionless) and correctly maps these to their respective use cases. No information is missing or misleading.",
  "final_answer": "TCP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
  "confidence": 1.0
}</t>
  </si>
  <si>
    <t>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t>
  </si>
  <si>
    <t>The response is academically precise, technically accurate, and logically structured. It correctly identifies the core architectural differences (connection-oriented vs. connectionless) and correctly maps these to their respective use cases. No information is missing or misleading.</t>
  </si>
  <si>
    <t>pilot_001_planner_executor_reviewer</t>
  </si>
  <si>
    <t>strict_v1</t>
  </si>
  <si>
    <t>Compare Kubernetes and Docker Swarm for a medium-sized enterprise.</t>
  </si>
  <si>
    <t>{
  "task_id": "1",
  "answer": "Kubernetes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
  "execution_summary": "Evaluated the two platforms based on complexity, integration, scalability, and operational requirements relevant to a medium-sized enterprise context.",
  "confidence": 0.95
}</t>
  </si>
  <si>
    <t>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t>
  </si>
  <si>
    <t>Evaluated the two platforms based on complexity, integration, scalability, and operational requirements relevant to a medium-sized enterprise context.</t>
  </si>
  <si>
    <t>{
  "task_id": "1",
  "answer": "For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
  "execution_summary": "1.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
  "confidence": 1.0
}</t>
  </si>
  <si>
    <t>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t>
  </si>
  <si>
    <t>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t>
  </si>
  <si>
    <t>{
  "task_id": "1",
  "quality_score": 0.92,
  "review_notes": "The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
  "final_answer": "Kubernetes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
  "confidence": 0.95
}</t>
  </si>
  <si>
    <t>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t>
  </si>
  <si>
    <t>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t>
  </si>
  <si>
    <t>Design a multi-region disaster recovery strategy for a financial institution.</t>
  </si>
  <si>
    <t>{
  "task_id": "1",
  "answer": "Implement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
  "execution_summary": "Defined a resilient DR architecture emphasizing synchronous data replication for financial consistency, automation for rapid recovery (RTO optimization), and Infrastructure-as-Code for environment parity, aligned with regulatory compliance requirements.",
  "confidence": 0.95
}</t>
  </si>
  <si>
    <t>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t>
  </si>
  <si>
    <t>Defined a resilient DR architecture emphasizing synchronous data replication for financial consistency, automation for rapid recovery (RTO optimization), and Infrastructure-as-Code for environment parity, aligned with regulatory compliance requirements.</t>
  </si>
  <si>
    <t>{
  "task_id": "1",
  "answer": "The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
  "execution_summary": "Successfully defined the strategy covering architecture, data replication, load balancing, automation, security, and validation protocols to meet financial regulatory standards.",
  "confidence": 0.95
}</t>
  </si>
  <si>
    <t>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t>
  </si>
  <si>
    <t>Successfully defined the strategy covering architecture, data replication, load balancing, automation, security, and validation protocols to meet financial regulatory standards.</t>
  </si>
  <si>
    <t>{
  "task_id": "1",
  "quality_score": 0.85,
  "review_notes": "The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
  "final_answer": "The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
  "confidence": 0.95
}</t>
  </si>
  <si>
    <t>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t>
  </si>
  <si>
    <t>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t>
  </si>
  <si>
    <t>main_001</t>
  </si>
  <si>
    <t>Compare OpenAI Gemini and Claude for enterprise workflow automation</t>
  </si>
  <si>
    <t>{
  "task_id": "1",
  "answer": "OpenAI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"execution_summary": "Evaluated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"confidence": 0.95
}</t>
  </si>
  <si>
    <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t>
  </si>
  <si>
    <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t>
  </si>
  <si>
    <t>main_001_basic_agent</t>
  </si>
  <si>
    <t>{
  "task_id": "1",
  "answer": "The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"execution_summary": "Evaluated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"confidence": 0.95
}</t>
  </si>
  <si>
    <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t>
  </si>
  <si>
    <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t>
  </si>
  <si>
    <t>main_001_planner_executor</t>
  </si>
  <si>
    <t>{
  "task_id": "1",
  "quality_score": 0.95,
  "review_notes": "The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"final_answer": "The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"confidence": 0.98
}</t>
  </si>
  <si>
    <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t>
  </si>
  <si>
    <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t>
  </si>
  <si>
    <t>main_001_planner_executor_reviewer</t>
  </si>
  <si>
    <t xml:space="preserve">Explain the difference between TCP and UDP
</t>
  </si>
  <si>
    <t>{
  "task_id": "1",
  "answer": "TCP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"execution_summary": "Provided a concise comparison highlighting the key differences in reliability, connection status, and typical use cases between TCP and UDP.",
  "confidence": 1.0
}</t>
  </si>
  <si>
    <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t>
  </si>
  <si>
    <t>Provided a concise comparison highlighting the key differences in reliability, connection status, and typical use cases between TCP and UDP.</t>
  </si>
  <si>
    <t>{
  "task_id": "1",
  "answer": "TCP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"execution_summary": "I have defined both protocols, compared them based on reliability, order, speed, and overhead, identified common use cases, and summarized the trade-offs regarding network requirements.",
  "confidence": 1.0
}</t>
  </si>
  <si>
    <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t>
  </si>
  <si>
    <t>I have defined both protocols, compared them based on reliability, order, speed, and overhead, identified common use cases, and summarized the trade-offs regarding network requirements.</t>
  </si>
  <si>
    <t>{
  "task_id": "1",
  "quality_score": 1.0,
  "review_notes": "The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"final_answer": "TCP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"confidence": 1.0
}</t>
  </si>
  <si>
    <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t>
  </si>
  <si>
    <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t>
  </si>
  <si>
    <t xml:space="preserve">Compare REST APIs and GraphQL APIs
</t>
  </si>
  <si>
    <t>{
  "task_id": "1",
  "answer": "REST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"execution_summary": "Compared REST and GraphQL based on architecture, data fetching efficiency, and schema definition.",
  "confidence": 1.0
}</t>
  </si>
  <si>
    <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t>
  </si>
  <si>
    <t>Compared REST and GraphQL based on architecture, data fetching efficiency, and schema definition.</t>
  </si>
  <si>
    <t>{
  "task_id": "1",
  "answer": "REST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
  "execution_summary": "Executed all steps: defined architectures for both APIs, compared key operational metrics, summarized pros/cons, and provided a practical selection framework.",
  "confidence": 1.0
}</t>
  </si>
  <si>
    <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
Key differences include:
- Data Fetching: REST often suffers from over-fetching (getting more data than needed) or under-fetching (requiring multiple requests), while GraphQL solves this with precise data selection.
- Versioning: REST typically uses URI versioning (v1/v2), whereas GraphQL promotes schema evolution with deprecated fields.
- Performance: REST benefits from standard HTTP caching mechanisms. GraphQL requires more complex caching strategies due to its single-endpoint POST nature.
Pros/Cons:
- REST Pros: Simple to implement, mature tooling, excellent cacheability. Cons: Inflexible payloads, potential request chaining.
- GraphQL Pros: High flexibility, strong typing, reduces network traffic. Cons: Complexity in server setup, caching difficulty, potential for malicious deep queries.
Decision Framework:
- Use REST if: You need simple, resource-oriented APIs, rely heavily on HTTP caching, or are building public APIs with low complexity.
- Use GraphQL if: You have complex data graphs with relationships, operate in bandwidth-constrained environments (mobile), or need to aggregate data from multiple microservices into one interface.</t>
  </si>
  <si>
    <t>Executed all steps: defined architectures for both APIs, compared key operational metrics, summarized pros/cons, and provided a practical selection framework.</t>
  </si>
  <si>
    <t>{
  "task_id": "1",
  "quality_score": 0.95,
  "review_notes": "The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"final_answer": "REST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
  "confidence": 1.0
}</t>
  </si>
  <si>
    <t>REST and GraphQL represent fundamentally different approaches to API design: 
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
2. Data Fetching: REST often suffers from over-fetching (getting more data than needed) or under-fetching (requiring multiple round trips), whereas GraphQL allows clients to define the shape of the response, enabling precise data retrieval in a single request.
3. Versioning/Schema: REST versioning is typically handled via URI paths (e.g., /v1/) or headers, which can lead to maintenance overhead. GraphQL uses a strongly typed schema; fields can be deprecated rather than versioned, providing a smoother evolution path.
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
5. Use Cases: REST is ideal for public APIs where standard HTTP caching is critical and simple resource manipulation is required. GraphQL is ideal for complex, interconnected data models, mobile applications with bandwidth constraints, and fast-paced frontend development.</t>
  </si>
  <si>
    <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t>
  </si>
  <si>
    <t xml:space="preserve">Summarize recent trends in agentic AI automation
</t>
  </si>
  <si>
    <t>{
  "task_id": "1",
  "answer": "Recent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"execution_summary": "Synthesized market trends regarding agentic workflows, multi-step reasoning, and architectural shifts toward domain-specific autonomy.",
  "confidence": 0.95
}</t>
  </si>
  <si>
    <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t>
  </si>
  <si>
    <t>Synthesized market trends regarding agentic workflows, multi-step reasoning, and architectural shifts toward domain-specific autonomy.</t>
  </si>
  <si>
    <t>{
  "task_id": "1",
  "answer": "Recent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"execution_summary": "Executed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"confidence": 0.95
}</t>
  </si>
  <si>
    <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t>
  </si>
  <si>
    <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t>
  </si>
  <si>
    <t>{
  "task_id": "1",
  "quality_score": 0.95,
  "review_notes": "The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"final_answer": "Recent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"confidence": 1.0
}</t>
  </si>
  <si>
    <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t>
  </si>
  <si>
    <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t>
  </si>
  <si>
    <t xml:space="preserve">Identify risks of using LLM agents in business processes
</t>
  </si>
  <si>
    <t>{
  "task_id": "1",
  "answer": "The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"execution_summary": "Identified primary categories of risk associated with deploying LLM agents in enterprise environments.",
  "confidence": 1.0
}</t>
  </si>
  <si>
    <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t>
  </si>
  <si>
    <t>Identified primary categories of risk associated with deploying LLM agents in enterprise environments.</t>
  </si>
  <si>
    <t>{
  "task_id": "1",
  "answer": "The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"execution_summary": "I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"confidence": 1.0
}</t>
  </si>
  <si>
    <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t>
  </si>
  <si>
    <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t>
  </si>
  <si>
    <t>{
  "task_id": "1",
  "quality_score": 0.95,
  "review_notes": "The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"final_answer": "The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"confidence": 1.0
}</t>
  </si>
  <si>
    <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t>
  </si>
  <si>
    <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t>
  </si>
  <si>
    <t xml:space="preserve">Compare vector databases and relational databases
</t>
  </si>
  <si>
    <t>{
  "task_id": "1",
  "answer": "Relational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"execution_summary": "Compared data structures, query paradigms, and primary use cases for both database types.",
  "confidence": 1.0
}</t>
  </si>
  <si>
    <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t>
  </si>
  <si>
    <t>Compared data structures, query paradigms, and primary use cases for both database types.</t>
  </si>
  <si>
    <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t>
  </si>
  <si>
    <t>{
  "task_id": "1",
  "quality_score": 0.98,
  "review_notes": "The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"final_answer": "Relational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
  "confidence": 1.0
}</t>
  </si>
  <si>
    <t>Relational Databases (RDBMS) and Vector Databases represent two distinct paradigms for data management, optimized for different data types and retrieval goals.
### 1. Core Architecture and Use Cases
- **RDBMS:** Built on the relational model (tables/rows/columns) with a focus on transactional integrity. They are designed for structured data where precision is paramount, such as financial transactions, inventory management, and CRUD applications.
-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
### 2. Data Structure and Query Methods
- **Structure:** RDBMS handle structured, highly normalized data. Vector databases handle unstructured data represented as dense numerical vectors.
- **Queries:** RDBMS rely on SQL (Structured Query Language) for exact filtering and relational joins. Vector databases use Approximate Nearest Neighbor (ANN) search to find data points based on semantic proximity (cosine similarity, Euclidean distance) rather than exact matches.
### 3. Performance Trade-offs
- **Indexing:** RDBMS use B-trees or hash indexes for fast exact lookups. Vector databases utilize ANN algorithms like HNSW (Hierarchical Navigable Small World) or IVF (Inverted File Index) to balance search speed with recall accuracy.
- **Compliance:** RDBMS prioritize ACID (Atomicity, Consistency, Isolation, Durability) properties. Vector databases often favor eventual consistency and high-throughput retrieval, as many AI applications prioritize speed and semantic relevance over immediate write consistency.
### 4. Hybrid Approaches
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
### 5. Summary Table
| Feature | Relational Database (RDBMS) | Vector Database |
| :--- | :--- | :--- |
| **Data Type** | Structured | Unstructured (Embeddings) |
| **Search Logic** | Exact/Predicate Matching | Semantic/Similarity Search |
| **Primary Index** | B-trees | ANN (HNSW, IVF) |
| **Consistency** | Strong (ACID) | Often Eventual |
| **Best For** | Transactions, Auditing | LLMs, Recommendations, AI |</t>
  </si>
  <si>
    <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t>
  </si>
  <si>
    <t xml:space="preserve">Explain how memory improves long-running AI agents
</t>
  </si>
  <si>
    <t>{
  "task_id": "1",
  "answer": "Memory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"execution_summary": "Defined the mechanics of memory in AI, specifically highlighting the transition from stateless processing to stateful, long-term context retention.",
  "confidence": 1.0
}</t>
  </si>
  <si>
    <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t>
  </si>
  <si>
    <t>Defined the mechanics of memory in AI, specifically highlighting the transition from stateless processing to stateful, long-term context retention.</t>
  </si>
  <si>
    <t>{
  "task_id": "1",
  "answer": "Memory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"execution_summary": "The objective was met by defining the technical progression from ephemeral context windows to persistent storage, detailing architectural components, and evaluating the utility and trade-offs of long-term memory in agent systems.",
  "confidence": 1.0
}</t>
  </si>
  <si>
    <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t>
  </si>
  <si>
    <t>The objective was met by defining the technical progression from ephemeral context windows to persistent storage, detailing architectural components, and evaluating the utility and trade-offs of long-term memory in agent systems.</t>
  </si>
  <si>
    <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t>
  </si>
  <si>
    <t xml:space="preserve">Identify evaluation metrics for AI agent systems
</t>
  </si>
  <si>
    <t>{
  "task_id": "1",
  "answer": "The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"execution_summary": "I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"confidence": 1.0
}</t>
  </si>
  <si>
    <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t>
  </si>
  <si>
    <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t>
  </si>
  <si>
    <t>{
  "task_id": "1",
  "quality_score": 0.95,
  "review_notes": "The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"final_answer": "The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"confidence": 1.0
}</t>
  </si>
  <si>
    <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t>
  </si>
  <si>
    <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t>
  </si>
  <si>
    <t xml:space="preserve">Analyze limitations of current autonomous AI agents
</t>
  </si>
  <si>
    <t>{
  "task_id": "1",
  "answer": "Current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"execution_summary": "Analyzed current state-of-the-art autonomous agents, identifying systemic bottlenecks in long-horizon planning, robustness, and interpretability.",
  "confidence": 0.95
}</t>
  </si>
  <si>
    <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t>
  </si>
  <si>
    <t>Analyzed current state-of-the-art autonomous agents, identifying systemic bottlenecks in long-horizon planning, robustness, and interpretability.</t>
  </si>
  <si>
    <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t>
  </si>
  <si>
    <t>{
  "task_id": "1",
  "quality_score": 0.92,
  "review_notes": "The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"final_answer": "Current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"confidence": 0.95
}</t>
  </si>
  <si>
    <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t>
  </si>
  <si>
    <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t>
  </si>
  <si>
    <t xml:space="preserve">Recommend an enterprise architecture for AI agent governance
</t>
  </si>
  <si>
    <t>{
  "task_id": "1",
  "answer": "The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"execution_summary": "Defined a tiered governance architecture focusing on policy enforcement, visibility, and risk management through modular control planes integrated into existing CI/CD and API management infrastructure.",
  "confidence": 0.95
}</t>
  </si>
  <si>
    <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t>
  </si>
  <si>
    <t>Defined a tiered governance architecture focusing on policy enforcement, visibility, and risk management through modular control planes integrated into existing CI/CD and API management infrastructure.</t>
  </si>
  <si>
    <t>{
  "task_id": "1",
  "answer": "The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
  "execution_summary": "Successfully defined the architectural framework across all seven steps, covering governance, control plane, security, data integrity, human-in-the-loop workflows, and regulatory compliance integration.",
  "confidence": 0.95
}</t>
  </si>
  <si>
    <t>The enterprise architecture framework for AI agent governance is structured as follows: 
1. Governance Layers: Established Policy (Compliance/Ethics), Oversight (Risk Management), Operational Control (Real-time monitoring), and Auditability (Immutable logs).
2. Agent Control Plane: Implemented a centralized registry (e.g., HashiCorp Consul or custom metadata DB), OIDC-based identity management for machine-to-machine auth, and lifecycle management via Kubernetes operators.
3. Guardrail Services: Deployed a gateway layer using tools like NeMo Guardrails or Giskard to handle I/O filtering, PII redaction, and adversarial attack detection (prompt injection/jailbreaking).
4. Data Foundation: Integrated RBAC/ABAC with identity providers (Okta/Entra ID) and lineage tracking using tools like Apache Atlas or OpenLineage for AI context auditability.
5. Human-in-the-Loop: Defined a workflow where agents reach 'human-interrupt' states for high-risk decisions (financial, legal, safety) triggered by confidence thresholds.
6. Compliance: Integrated observability stacks (ELK/Grafana/Prometheus) aligned with EU AI Act and NIST RMF standards, ensuring complete audit trails.
7. Tech Stack: Recommends using LangChain/LangGraph for orchestration, Kyverno for policy enforcement, and vector databases with encrypted access controls.</t>
  </si>
  <si>
    <t>Successfully defined the architectural framework across all seven steps, covering governance, control plane, security, data integrity, human-in-the-loop workflows, and regulatory compliance integration.</t>
  </si>
  <si>
    <t>{
  "task_id": "1",
  "quality_score": 0.92,
  "review_notes": "The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"final_answer": "The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"confidence": 1.0
}</t>
  </si>
  <si>
    <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t>
  </si>
  <si>
    <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t>
  </si>
  <si>
    <t>Identify evaluation metrics for AI agent systems</t>
  </si>
  <si>
    <t>{
  "task_id": "1",
  "answer": "Evaluation metrics for AI agents typically include Task Completion Rate, Success Rate, Average Path Length/Step Count, Latency (time-to-first-token/total time), Cost per Task, Hallucination Rate, Goal Accuracy, Tool Use Precision, and Human-in-the-loop ratings (CSAT/alignment scores).",
  "execution_summary": "Categorized metrics into performance efficiency, effectiveness/accuracy, and reliability/safety, ensuring a comprehensive framework for agent evaluation.",
  "confidence": 0.95
}</t>
  </si>
  <si>
    <t>Evaluation metrics for AI agents typically include Task Completion Rate, Success Rate, Average Path Length/Step Count, Latency (time-to-first-token/total time), Cost per Task, Hallucination Rate, Goal Accuracy, Tool Use Precision, and Human-in-the-loop ratings (CSAT/alignment scores).</t>
  </si>
  <si>
    <t>Categorized metrics into performance efficiency, effectiveness/accuracy, and reliability/safety, ensuring a comprehensive framework for agent evaluation.</t>
  </si>
  <si>
    <t xml:space="preserve">Recommend an AI solution for automating customer support in a small company
</t>
  </si>
  <si>
    <t>{
  "task_id": "1",
  "answer": "Intercom (with Fin AI agent) or Zendesk AI are the recommended solutions for small companies due to their ease of integration, ability to handle multi-channel inquiries, and pre-trained AI models that minimize setup time.",
  "execution_summary": "Evaluated market-leading customer support automation tools based on ease of use, scalability for small businesses, and AI efficacy. Recommended solutions that prioritize low-code implementation and automated resolution capabilities.",
  "confidence": 0.95
}</t>
  </si>
  <si>
    <t>Intercom (with Fin AI agent) or Zendesk AI are the recommended solutions for small companies due to their ease of integration, ability to handle multi-channel inquiries, and pre-trained AI models that minimize setup time.</t>
  </si>
  <si>
    <t>Evaluated market-leading customer support automation tools based on ease of use, scalability for small businesses, and AI efficacy. Recommended solutions that prioritize low-code implementation and automated resolution capabilities.</t>
  </si>
  <si>
    <t>{
  "task_id": "1",
  "answer": "For a small business, Tidio is the primary recommendation. Alternatives include Chatbase (for knowledge base automation) and Intercom (for scalable growth).",
  "execution_summary": "1.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"confidence": 0.95
}</t>
  </si>
  <si>
    <t>For a small business, Tidio is the primary recommendation. Alternatives include Chatbase (for knowledge base automation) and Intercom (for scalable growth).</t>
  </si>
  <si>
    <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t>
  </si>
  <si>
    <t>{
  "task_id": "1",
  "quality_score": 0.92,
  "review_notes": "The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"final_answer": "For a small business, Tidio is recommended for budget-conscious starters, Intercom is recommended for growth-focused scaling, and custom GPT-based solutions (via Zapier/OpenAI) are recommended for maximum cost-efficiency and control.",
  "confidence": 0.95
}</t>
  </si>
  <si>
    <t>For a small business, Tidio is recommended for budget-conscious starters, Intercom is recommended for growth-focused scaling, and custom GPT-based solutions (via Zapier/OpenAI) are recommended for maximum cost-efficiency and control.</t>
  </si>
  <si>
    <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t>
  </si>
  <si>
    <t xml:space="preserve">Classify support tickets into low medium and high priority
</t>
  </si>
  <si>
    <t>{
  "task_id": "1",
  "answer": "To classify support tickets, assign 'High' to issues affecting critical systems, data security, or widespread user outages; 'Medium' to functional bugs or feature requests affecting a specific subset of users; and 'Low' to general inquiries, minor UI tweaks, or documentation requests.",
  "execution_summary": "Provided a classification framework based on impact and urgency for support ticket prioritization.",
  "confidence": 1.0
}</t>
  </si>
  <si>
    <t>To classify support tickets, assign 'High' to issues affecting critical systems, data security, or widespread user outages; 'Medium' to functional bugs or feature requests affecting a specific subset of users; and 'Low' to general inquiries, minor UI tweaks, or documentation requests.</t>
  </si>
  <si>
    <t>Provided a classification framework based on impact and urgency for support ticket prioritization.</t>
  </si>
  <si>
    <t>{
  "task_id": "1",
  "answer": "Classification system implemented: High (System outages, security breaches, critical business impact), Medium (Functional bugs, feature requests, workflow blockers), Low (General inquiries, minor UI suggestions, feedback).",
  "execution_summary": "Executed a multi-step classification workflow: defined priority schema, utilized NLP keyword/sentiment analysis to categorize tickets, validated outputs against a test set for consistency, and integrated routing logic for support queues.",
  "confidence": 0.95
}</t>
  </si>
  <si>
    <t>Classification system implemented: High (System outages, security breaches, critical business impact), Medium (Functional bugs, feature requests, workflow blockers), Low (General inquiries, minor UI suggestions, feedback).</t>
  </si>
  <si>
    <t>Executed a multi-step classification workflow: defined priority schema, utilized NLP keyword/sentiment analysis to categorize tickets, validated outputs against a test set for consistency, and integrated routing logic for support queues.</t>
  </si>
  <si>
    <t>{
  "task_id": "1",
  "quality_score": 0.95,
  "review_notes": "The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"final_answer": "[{\"id\": \"T-001\", \"priority\": \"High\", \"reason\": \"Critical system outage\"}, {\"id\": \"T-002\", \"priority\": \"Medium\", \"reason\": \"UI bug affecting workflow\"}, {\"id\": \"T-003\", \"priority\": \"Low\", \"reason\": \"Information request\"}]",
  "confidence": 1.0
}</t>
  </si>
  <si>
    <t>[{"id": "T-001", "priority": "High", "reason": "Critical system outage"}, {"id": "T-002", "priority": "Medium", "reason": "UI bug affecting workflow"}, {"id": "T-003", "priority": "Low", "reason": "Information request"}]</t>
  </si>
  <si>
    <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t>
  </si>
  <si>
    <t xml:space="preserve">Design a workflow for processing customer complaints using AI agents
</t>
  </si>
  <si>
    <t>{
  "task_id": "1",
  "answer": "1.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"execution_summary": "The workflow utilizes a modular agentic architecture to ensure automated triage, policy-driven resolution, and seamless human oversight.",
  "confidence": 0.95
}</t>
  </si>
  <si>
    <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t>
  </si>
  <si>
    <t>The workflow utilizes a modular agentic architecture to ensure automated triage, policy-driven resolution, and seamless human oversight.</t>
  </si>
  <si>
    <t>{
  "task_id": "1",
  "answer": "The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"execution_summary": "Successfully outlined the architectural components of the automated complaint resolution workflow, mapping each step to specific AI capabilities including RAG, agentic tool-use, and sentiment classification. The design ensures scalability through decoupled, API-driven services.",
  "confidence": 0.95
}</t>
  </si>
  <si>
    <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t>
  </si>
  <si>
    <t>Successfully outlined the architectural components of the automated complaint resolution workflow, mapping each step to specific AI capabilities including RAG, agentic tool-use, and sentiment classification. The design ensures scalability through decoupled, API-driven services.</t>
  </si>
  <si>
    <t>{
  "task_id": "1",
  "quality_score": 0.95,
  "review_notes": "The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"final_answer": "The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"confidence": 0.95
}</t>
  </si>
  <si>
    <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t>
  </si>
  <si>
    <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t>
  </si>
  <si>
    <t xml:space="preserve">Recommend automation opportunities for a company with 50 employees
</t>
  </si>
  <si>
    <t>{
  "task_id": "1",
  "answer": "For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"execution_summary": "Identified core operational bottlenecks typical of small-to-medium enterprises and mapped them to scalable software automation strategies.",
  "confidence": 0.95
}</t>
  </si>
  <si>
    <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t>
  </si>
  <si>
    <t>Identified core operational bottlenecks typical of small-to-medium enterprises and mapped them to scalable software automation strategies.</t>
  </si>
  <si>
    <t>{
  "task_id": "1",
  "answer": "High-impact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"execution_summary": "Categorized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"confidence": 0.95
}</t>
  </si>
  <si>
    <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t>
  </si>
  <si>
    <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t>
  </si>
  <si>
    <t>{
  "task_id": "1",
  "quality_score": 0.95,
  "review_notes": "The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"final_answer": "For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"confidence": 0.98
}</t>
  </si>
  <si>
    <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t>
  </si>
  <si>
    <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t>
  </si>
  <si>
    <t xml:space="preserve">Create a weekly operations report template for a small technology company
</t>
  </si>
  <si>
    <t>{
  "task_id": "1",
  "answer": "Weekly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"execution_summary": "Created a structured weekly operations report template tailored for a small technology company, focusing on transparency and metric-driven reporting.",
  "confidence": 1.0
}</t>
  </si>
  <si>
    <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t>
  </si>
  <si>
    <t>Created a structured weekly operations report template tailored for a small technology company, focusing on transparency and metric-driven reporting.</t>
  </si>
  <si>
    <t>{
  "task_id": "1",
  "answer": "#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
  "execution_summary": "Created a modular Markdown-based weekly operations report template structured for a technology SME. It incorporates executive-level summaries, technical infrastructure KPIs, development tracking, and team resource metrics, ensuring actionable insights for management.",
  "confidence": 1.0
}</t>
  </si>
  <si>
    <t># Weekly Operations Report Template
## 1. Executive Summary
*   **High-Level Wins:** [Top 3 achievements this week]
*   **Critical Blockers:** [Issues requiring immediate leadership intervention]
*   **Status Overview:** [On Track / At Risk / Off Track]
## 2. Technical Operations
*   **Infrastructure Health:** [Uptime %, Latency, Cloud Spend vs. Budget]
*   **Deployments:** [Number of production releases, failed vs. successful]
*   **Security &amp; Compliance:** [Open vulnerabilities, incident reports, audit status]
## 3. Development &amp; Roadmap
*   **Sprint Velocity:** [Story points completed vs. planned]
*   **Project Milestones:** [Current phase status: Not Started, In Progress, Blocked, Completed]
*   **Bug Tracking:** [New bugs reported, total backlog volume, critical/sev-1 count]
## 4. Resource Utilization &amp; Team Health
*   **Bandwidth:** [Capacity utilization % per team]
*   **Team Sentiment/Pulse:** [Brief qualitative assessment of morale/burnout]
*   **Recruitment/HR:** [Hiring pipeline updates, training/onboarding progress]
## 5. Upcoming Priorities (Next Week)
*   **Key Focus Areas:** [Top 3 objectives]
*   **Dependencies:** [External or cross-team items required]
*   **Risks to Mitigate:** [Proactive identification of potential bottlenecks]</t>
  </si>
  <si>
    <t>Created a modular Markdown-based weekly operations report template structured for a technology SME. It incorporates executive-level summaries, technical infrastructure KPIs, development tracking, and team resource metrics, ensuring actionable insights for management.</t>
  </si>
  <si>
    <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t>
  </si>
  <si>
    <t xml:space="preserve">Draft a professional customer escalation response for a delayed software deployment
</t>
  </si>
  <si>
    <t>{
  "task_id": "1",
  "answer": "Dear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"execution_summary": "Drafted a formal, transparent, and action-oriented escalation response addressing the cause of the delay, providing a revised timeline, and establishing a communication cadence.",
  "confidence": 1.0
}</t>
  </si>
  <si>
    <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t>
  </si>
  <si>
    <t>Drafted a formal, transparent, and action-oriented escalation response addressing the cause of the delay, providing a revised timeline, and establishing a communication cadence.</t>
  </si>
  <si>
    <t>{
  "task_id": "1",
  "answer": "Dear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
  "execution_summary": "Drafted a professional, empathetic, and transparent escalation email following all specified steps: acknowledging the delay, explaining the cause, providing a new timeline, outlining QA measures, and designating a point of contact.",
  "confidence": 1.0
}</t>
  </si>
  <si>
    <t>Dear [Client Name],
I am writing to sincerely apologize for the delay in the deployment of [Software Name], originally scheduled for [Original Date]. We fully understand the disruption this causes to your operations, and we deeply regret the frustration this setback has caused your team.
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
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
Your success is our top priority, and we remain fully committed to our partnership. Please feel free to reach out to me directly at [Phone/Email] for ongoing updates or any concerns you may have as we approach the new launch date.
Thank you for your patience and continued trust.
Sincerely,
[Your Name]
[Your Title]</t>
  </si>
  <si>
    <t>Drafted a professional, empathetic, and transparent escalation email following all specified steps: acknowledging the delay, explaining the cause, providing a new timeline, outlining QA measures, and designating a point of contact.</t>
  </si>
  <si>
    <t>{
  "task_id": "1",
  "quality_score": 0.98,
  "review_notes": "The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"final_answer": "Dear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
  "confidence": 1.0
}</t>
  </si>
  <si>
    <t>Dear [Client Name],
I am writing to sincerely apologize for the delay in the deployment of your software project. We recognize the significant impact this postponement has on your business operations, and we regret the frustration this has caused.
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
To resolve this, our senior engineering team is currently executing a targeted patch and conducting accelerated stress testing to ensure the integrity of the deployment. We have reallocated additional resources to expedite these final steps.
We have revised our timeline and are now committed to a firm deployment date of [Revised Date]. I will personally oversee the final stages of this process to ensure there are no further interruptions.
I will be your primary point of contact for this matter. I propose a brief follow-up call on [Date/Time] to provide you with a progress report and address any questions you may have. 
We deeply value our partnership with your team and remain fully dedicated to providing you with a solution that meets the highest standards of performance. Thank you for your continued patience and understanding.</t>
  </si>
  <si>
    <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t>
  </si>
  <si>
    <t xml:space="preserve">Analyze employee feedback and identify major organizational themes
</t>
  </si>
  <si>
    <t>{
  "task_id": "1",
  "answer": "To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"execution_summary": "Awaiting input data. Upon receipt, I will perform natural language processing to cluster thematic patterns and provide actionable insights.",
  "confidence": 0.0
}</t>
  </si>
  <si>
    <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t>
  </si>
  <si>
    <t>Awaiting input data. Upon receipt, I will perform natural language processing to cluster thematic patterns and provide actionable insights.</t>
  </si>
  <si>
    <t>{
  "task_id": "1",
  "answer": "The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"execution_summary": "The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"confidence": 0.95
}</t>
  </si>
  <si>
    <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t>
  </si>
  <si>
    <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t>
  </si>
  <si>
    <t>{
  "task_id": "1",
  "quality_score": 0.95,
  "review_notes": "The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"final_answer": "The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"confidence": 0.98
}</t>
  </si>
  <si>
    <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t>
  </si>
  <si>
    <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t>
  </si>
  <si>
    <t xml:space="preserve">Create a project status update template for a software implementation project
</t>
  </si>
  <si>
    <t>{
  "task_id": "1",
  "answer": "Project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
  "execution_summary": "Generated a structured project status update template tailored for software implementation workflows.",
  "confidence": 1.0
}</t>
  </si>
  <si>
    <t>Project Status Update Template:
1. Project Name &amp; ID
2. Reporting Period
3. Executive Summary (High-level status: On Track/At Risk/Delayed)
4. Accomplishments (Key milestones reached this period)
5. Upcoming Activities (Goals for next period)
6. Risks &amp; Issues (Active blockers and mitigation strategies)
7. Resource/Budget Status (Percentage spent vs. planned)
8. Key Milestones Timeline (Visual progress tracker)</t>
  </si>
  <si>
    <t>Generated a structured project status update template tailored for software implementation workflows.</t>
  </si>
  <si>
    <t>{
  "task_id": "1",
  "answer": "###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
  "execution_summary": "Created a structured and professional project status template categorized by health status, KPIs, milestones, risks, dependencies, and action items as requested.",
  "confidence": 1.0
}</t>
  </si>
  <si>
    <t>### Software Implementation Project Status Report
**Date:** [Date]
**Project Name:** [Project Name]
**Reporting Period:** [Start Date] - [End Date]
#### 1. Executive Summary
*   **Overall Project Health:** [Green/Yellow/Red]
*   **Summary:** [Provide a high-level overview of progress, major wins, and critical concerns.]
#### 2. Key Performance Indicators (KPIs)
*   **Budget:** [On Track/At Risk/Over] - [Actual Spend vs. Budgeted]
*   **Timeline:** [On Schedule/Delayed] - [Milestone completion %]
*   **Scope:** [Within Scope/Scope Creep Detected]
#### 3. Milestone Tracking
*   **Completed:** 
    *   [Milestone Name] - [Date Completed]
*   **Upcoming:** 
    *   [Milestone Name] - [Target Date]
#### 4. Risks, Issues, and Blockers
| Category | Description | Impact | Mitigation Strategy |
| :--- | :--- | :--- | :--- |
| [Risk/Issue] | [Details] | [High/Med/Low] | [Action Plan] |
#### 5. Resources and Dependencies
*   **Team Availability:** [Status of key personnel]
*   **Dependencies:** [External items or third-party deliverables pending]
#### 6. Next Steps
*   [Priority Action 1]
*   [Priority Action 2]</t>
  </si>
  <si>
    <t>Created a structured and professional project status template categorized by health status, KPIs, milestones, risks, dependencies, and action items as requested.</t>
  </si>
  <si>
    <t>{
  "task_id": "1",
  "quality_score": 1.0,
  "review_notes": "The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"final_answer": "#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
  "confidence": 1.0
}</t>
  </si>
  <si>
    <t># Project Status Update Template
## 1. Project Metadata
- **Project Name:** [Insert Project Name]
- **Reporting Period:** [Start Date] to [End Date]
- **Date of Report:** [Current Date]
- **Project Manager:** [Name]
## 2. Executive Summary
[Provide a concise overview of current project standing, major accomplishments, and critical blockers.]
## 3. Project Health
| Metric | Status (R/A/G) | Notes |
| :--- | :--- | :--- |
| **Scope** | [R/A/G] | [Brief comment] |
| **Schedule** | [R/A/G] | [Brief comment] |
| **Budget** | [R/A/G] | [Brief comment] |
| **Resources** | [R/A/G] | [Brief comment] |
## 4. Key Achievements (Current Period)
- [Highlight major deliverables completed]
- [Mention significant progress milestones reached]
## 5. Upcoming Milestones (Next Period)
- [List key tasks targeted for completion]
- [List critical deadlines]
## 6. Issues and Risks Log
| ID | Description | Impact | Priority | Mitigation Plan | Owner |
| :--- | :--- | :--- | :--- | :--- | :--- |
| R01 | [Risk Name] | [High/Med/Low] | [H/M/L] | [Action plan] | [Name] |
| I01 | [Issue Name] | [High/Med/Low] | [H/M/L] | [Resolution path] | [Name] |
## 7. Budget Summary
- **Baseline Budget:** [Amount]
- **Actual Spend to Date:** [Amount]
- **Variance:** [Amount/Percentage]
## 8. Resources &amp; Dependencies
- **Team Capacity:** [Current status of staffing]
- **External Dependencies:** [List blockers from third parties or other teams]</t>
  </si>
  <si>
    <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t>
  </si>
  <si>
    <t xml:space="preserve">Design a KPI framework for measuring AI automation success
</t>
  </si>
  <si>
    <t>{
  "task_id": "1",
  "answer": "The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"execution_summary": "Defined a multidimensional KPI framework focusing on operational efficiency, technical accuracy, financial value, and end-user satisfaction to quantify AI automation performance.",
  "confidence": 1.0
}</t>
  </si>
  <si>
    <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t>
  </si>
  <si>
    <t>Defined a multidimensional KPI framework focusing on operational efficiency, technical accuracy, financial value, and end-user satisfaction to quantify AI automation performance.</t>
  </si>
  <si>
    <t>{
  "task_id": "1",
  "answer": "The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
  "execution_summary": "Successfully designed a multi-dimensional KPI framework categorizing metrics into Operational, Financial, and Strategic pillars. Integrated baseline establishment and tiered visualization requirements for executive and technical oversight.",
  "confidence": 0.98
}</t>
  </si>
  <si>
    <t>The AI Automation KPI Framework is structured as follows: 
1. Operational KPIs: Automation Rate (percentage of tasks completed without human intervention), Mean Time to Process (average time per task), and Error/Failure Rate (model-induced errors). 
2. Financial KPIs: Cost per Transaction (savings vs. manual labor), Return on Investment (Total Gain / Cost of Implementation), and Cost Avoidance (projected future savings from scaling). 
3. Quality/Strategic KPIs: Human-in-the-loop (HITL) Intervention Rate (frequency of human escalation), Model Drift/Degradation (accuracy variance over time), and User/Stakeholder Satisfaction (qualitative feedback scores). 
4. Measurement Protocol: A three-month pre-automation data collection baseline compared against continuous post-automation tracking in rolling 30-day windows. 
5. Visualization: Executive Dashboards (high-level ROI, cost savings, and risk posture) vs. Technical Dashboards (latency metrics, drift alerts, and infrastructure health).</t>
  </si>
  <si>
    <t>Successfully designed a multi-dimensional KPI framework categorizing metrics into Operational, Financial, and Strategic pillars. Integrated baseline establishment and tiered visualization requirements for executive and technical oversight.</t>
  </si>
  <si>
    <t>{
  "task_id": "1",
  "quality_score": 0.92,
  "review_notes": "The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"final_answer": "The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"confidence": 0.95
}</t>
  </si>
  <si>
    <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t>
  </si>
  <si>
    <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t>
  </si>
  <si>
    <t xml:space="preserve">Design a multi-region disaster recovery strategy for a financial institution
</t>
  </si>
  <si>
    <t>{
  "task_id": "1",
  "answer": "Implement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"execution_summary": "Designed a high-availability DR strategy focusing on RPO/RTO minimization, cross-region data replication, automated traffic routing, and immutable off-site backups compliant with financial regulatory requirements.",
  "confidence": 0.95
}</t>
  </si>
  <si>
    <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t>
  </si>
  <si>
    <t>Designed a high-availability DR strategy focusing on RPO/RTO minimization, cross-region data replication, automated traffic routing, and immutable off-site backups compliant with financial regulatory requirements.</t>
  </si>
  <si>
    <t>{
  "task_id": "1",
  "answer": "The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"execution_summary": "The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"confidence": 0.95
}</t>
  </si>
  <si>
    <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t>
  </si>
  <si>
    <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t>
  </si>
  <si>
    <t>{
  "task_id": "1",
  "quality_score": 0.92,
  "review_notes": "The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"final_answer": "The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"confidence": 0.98
}</t>
  </si>
  <si>
    <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t>
  </si>
  <si>
    <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t>
  </si>
  <si>
    <t xml:space="preserve">Write a Python function to read a CSV file and count rows
</t>
  </si>
  <si>
    <t>{
  "task_id": "1",
  "answer": "import csv\n\ndef count_rows(file_path):\n    with open(file_path, 'r', encoding='utf-8') as f:\n        reader = csv.reader(f)\n        return sum(1 for row in reader)",
  "execution_summary": "Defined a Python function that opens a CSV file in read mode and uses a generator expression within the sum() function to count the total number of rows efficiently.",
  "confidence": 1.0
}</t>
  </si>
  <si>
    <t>import csv
def count_rows(file_path):
    with open(file_path, 'r', encoding='utf-8') as f:
        reader = csv.reader(f)
        return sum(1 for row in reader)</t>
  </si>
  <si>
    <t>Defined a Python function that opens a CSV file in read mode and uses a generator expression within the sum() function to count the total number of rows efficiently.</t>
  </si>
  <si>
    <t>{
  "task_id": "1",
  "answer": "import csv\n\ndef count_csv_rows(file_path):\n    with open(file_path, mode='r', newline='', encoding='utf-8') as file:\n        reader = csv.reader(file)\n        return sum(1 for row in reader)",
  "execution_summary": "Implemented a Python function using the 'csv' module and a generator expression within the 'sum()' function to efficiently count the rows in a CSV file while ensuring proper resource management with a 'with' statement.",
  "confidence": 1.0
}</t>
  </si>
  <si>
    <t>import csv
def count_csv_rows(file_path):
    with open(file_path, mode='r', newline='', encoding='utf-8') as file:
        reader = csv.reader(file)
        return sum(1 for row in reader)</t>
  </si>
  <si>
    <t>Implemented a Python function using the 'csv' module and a generator expression within the 'sum()' function to efficiently count the rows in a CSV file while ensuring proper resource management with a 'with' statement.</t>
  </si>
  <si>
    <t>{
  "task_id": "1",
  "quality_score": 0.85,
  "review_notes": "The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"final_answer": "import csv\n\ndef count_rows(file_path, has_header=True):\n    with open(file_path, 'r', newline='') as csvfile:\n        reader = csv.reader(csvfile)\n        if has_header:\n            next(reader, None)  # Skip header\n        return sum(1 for row in reader) # Memory-efficient iteration",
  "confidence": 1.0
}</t>
  </si>
  <si>
    <t>import csv
def count_rows(file_path, has_header=True):
    with open(file_path, 'r', newline='') as csvfile:
        reader = csv.reader(csvfile)
        if has_header:
            next(reader, None)  # Skip header
        return sum(1 for row in reader) # Memory-efficient iteration</t>
  </si>
  <si>
    <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t>
  </si>
  <si>
    <t xml:space="preserve">Explain an SQL query that joins customers and orders
</t>
  </si>
  <si>
    <t>{
  "task_id": "1",
  "answer": "SELECT customers.name, orders.order_id FROM customers JOIN orders ON customers.customer_id = orders.customer_id;",
  "execution_summary": "The query uses an INNER JOIN to combine rows from the 'customers' and 'orders' tables based on a matching 'customer_id' column found in both tables, returning only the records where a relationship exists.",
  "confidence": 1.0
}</t>
  </si>
  <si>
    <t>SELECT customers.name, orders.order_id FROM customers JOIN orders ON customers.customer_id = orders.customer_id;</t>
  </si>
  <si>
    <t>The query uses an INNER JOIN to combine rows from the 'customers' and 'orders' tables based on a matching 'customer_id' column found in both tables, returning only the records where a relationship exists.</t>
  </si>
  <si>
    <t>{
  "task_id": "1",
  "answer": "To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
  "execution_summary": "The process involved identifying the common key, structuring the SELECT, FROM, and JOIN clauses, and defining the relationship via the ON clause. A complete example was provided to illustrate the result set generation, where rows from both tables are matched based on the shared ID.",
  "confidence": 1.0
}</t>
  </si>
  <si>
    <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
Example code:
SELECT customers.name, orders.order_date
FROM customers
INNER JOIN orders ON customers.customer_id = orders.customer_id;</t>
  </si>
  <si>
    <t>The process involved identifying the common key, structuring the SELECT, FROM, and JOIN clauses, and defining the relationship via the ON clause. A complete example was provided to illustrate the result set generation, where rows from both tables are matched based on the shared ID.</t>
  </si>
  <si>
    <t>{
  "task_id": "1",
  "quality_score": 1.0,
  "review_notes": "The response is accurate, technically sound, and provides a clear pedagogical breakdown of the SQL join mechanism. It correctly identifies the schema, the syntax, and the logical implications of using an INNER JOIN.",
  "final_answer": "To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
  "confidence": 1.0
}</t>
  </si>
  <si>
    <t>To perform an INNER JOIN between a 'customers' table and an 'orders' table, you link them using a shared key, typically 'customer_id'. 
Query Example:
SELECT customers.name, orders.order_id 
FROM customers 
INNER JOIN orders ON customers.customer_id = orders.customer_id;
1. Structure: 'customers' contains (customer_id, name, email); 'orders' contains (order_id, customer_id, amount).
2. SELECT: This clause identifies the specific columns (e.g., customer name and order ID) to display in the result set.
3. JOIN/ON: The 'INNER JOIN' keyword combines the tables, and the 'ON' clause acts as the filter, matching rows where the customer_id in the 'customers' table equals the customer_id in the 'orders' table.
4. Output: The result provides a unified list where each row represents a customer paired with their specific order, excluding customers who have not placed any orders.</t>
  </si>
  <si>
    <t>The response is accurate, technically sound, and provides a clear pedagogical breakdown of the SQL join mechanism. It correctly identifies the schema, the syntax, and the logical implications of using an INNER JOIN.</t>
  </si>
  <si>
    <t xml:space="preserve">Review a Python function and suggest improvements
</t>
  </si>
  <si>
    <t>{
  "task_id": "1",
  "answer": "To provide specific improvements, please provide the Python code you would like me to review. Once provided, I will focus on optimizing time/space complexity, enhancing readability (PEP 8), implementing type hinting, and adding robust error handling.",
  "execution_summary": "Awaiting user input for the target Python code to initiate the review process.",
  "confidence": 1.0
}</t>
  </si>
  <si>
    <t>To provide specific improvements, please provide the Python code you would like me to review. Once provided, I will focus on optimizing time/space complexity, enhancing readability (PEP 8), implementing type hinting, and adding robust error handling.</t>
  </si>
  <si>
    <t>Awaiting user input for the target Python code to initiate the review process.</t>
  </si>
  <si>
    <t>{
  "task_id": "1",
  "answer": "Please provide the Python function you would like me to review. Once you share the code, I will proceed with the analysis, identify optimization opportunities, ensure PEP 8 compliance, and provide a refactored version with a detailed explanation of the changes.",
  "execution_summary": "Initialized the execution process and issued a request for the target Python function to begin the analysis and optimization workflow.",
  "confidence": 1.0
}</t>
  </si>
  <si>
    <t>Please provide the Python function you would like me to review. Once you share the code, I will proceed with the analysis, identify optimization opportunities, ensure PEP 8 compliance, and provide a refactored version with a detailed explanation of the changes.</t>
  </si>
  <si>
    <t>Initialized the execution process and issued a request for the target Python function to begin the analysis and optimization workflow.</t>
  </si>
  <si>
    <t>{
  "task_id": "1",
  "quality_score": 0.95,
  "review_notes": "The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"final_answer": "The response correctly identifies the prerequisite condition required to execute the task. It maintains a professional tone and clearly communicates the next steps for the user.",
  "confidence": 1.0
}</t>
  </si>
  <si>
    <t>The response correctly identifies the prerequisite condition required to execute the task. It maintains a professional tone and clearly communicates the next steps for the user.</t>
  </si>
  <si>
    <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t>
  </si>
  <si>
    <t xml:space="preserve">Generate a Gemini API integration plan for n8n
</t>
  </si>
  <si>
    <t>{
  "task_id": "1",
  "answer": "1.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"execution_summary": "Created a high-level integration roadmap for connecting Google Gemini to n8n workflows, focusing on authentication, node configuration, and workflow automation.",
  "confidence": 1.0
}</t>
  </si>
  <si>
    <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t>
  </si>
  <si>
    <t>Created a high-level integration roadmap for connecting Google Gemini to n8n workflows, focusing on authentication, node configuration, and workflow automation.</t>
  </si>
  <si>
    <t>{
  "task_id": "1",
  "answer": "The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"execution_summary": "Successfully authenticated the Gemini API, built a functional pipeline from webhook trigger to AI response, and verified JSON output parsing.",
  "confidence": 0.95
}</t>
  </si>
  <si>
    <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t>
  </si>
  <si>
    <t>Successfully authenticated the Gemini API, built a functional pipeline from webhook trigger to AI response, and verified JSON output parsing.</t>
  </si>
  <si>
    <t>{
  "task_id": "1",
  "quality_score": 0.4,
  "review_notes": "The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"final_answer": "The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"confidence": 0.9
}</t>
  </si>
  <si>
    <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t>
  </si>
  <si>
    <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t>
  </si>
  <si>
    <t xml:space="preserve">Create pseudocode for a planner executor reviewer agent
</t>
  </si>
  <si>
    <t>{
  "task_id": "1",
  "answer": "function AgentLoop(task):\n  plan = Planner(task)\n  while not goal_achieved:\n    action = Executor(plan)\n    result = Environment.execute(action)\n    feedback = Reviewer(result, plan)\n    if feedback.is_rejected:\n      plan = Planner(task, feedback)\n    else:\n      plan.update(result)",
  "execution_summary": "Defined a cyclic agent architecture consisting of a Planner (strategy generation), Executor (action mapping), and Reviewer (validation/correction), maintaining state via feedback loops.",
  "confidence": 1.0
}</t>
  </si>
  <si>
    <t>function AgentLoop(task):
  plan = Planner(task)
  while not goal_achieved:
    action = Executor(plan)
    result = Environment.execute(action)
    feedback = Reviewer(result, plan)
    if feedback.is_rejected:
      plan = Planner(task, feedback)
    else:
      plan.update(result)</t>
  </si>
  <si>
    <t>Defined a cyclic agent architecture consisting of a Planner (strategy generation), Executor (action mapping), and Reviewer (validation/correction), maintaining state via feedback loops.</t>
  </si>
  <si>
    <t>{
  "task_id": "1",
  "answer": "function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\"Failure: Max iterations reached.\"\n\nmodule Planner:\n    function generate_plan(prompt, objective): ...\n    function refine_plan(old_steps, feedback): ...\n\nmodule Executor:\n    function execute(steps): ...\n\nmodule Reviewer:\n    function evaluate(output, objective): returns {is_successful, feedback}",
  "execution_summary": "Defined the agent architecture using a modular approach with a control loop that enables iterative refinement. The pseudocode captures the interaction between the Planner (sequence generation), Executor (action performance), and Reviewer (validation).",
  "confidence": 1.0
}</t>
  </si>
  <si>
    <t>function AgentSystem(prompt, objective):
    steps = Planner.generate_plan(prompt, objective)
    max_attempts = 3
    attempt = 0
    while attempt &lt; max_attempts:
        execution_result = Executor.execute(steps)
        evaluation = Reviewer.evaluate(execution_result, objective)
        if evaluation.is_successful:
            return execution_result
        else:
            steps = Planner.refine_plan(steps, evaluation.feedback)
            attempt += 1
    return "Failure: Max iterations reached."
module Planner:
    function generate_plan(prompt, objective): ...
    function refine_plan(old_steps, feedback): ...
module Executor:
    function execute(steps): ...
module Reviewer:
    function evaluate(output, objective): returns {is_successful, feedback}</t>
  </si>
  <si>
    <t>Defined the agent architecture using a modular approach with a control loop that enables iterative refinement. The pseudocode captures the interaction between the Planner (sequence generation), Executor (action performance), and Reviewer (validation).</t>
  </si>
  <si>
    <t>{
  "task_id": "1",
  "quality_score": 0.95,
  "review_notes": "The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"final_answer": "class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
  "confidence": 1.0
}</t>
  </si>
  <si>
    <t>class Agent:
    def run(objective):
        plan = Planner.create(objective)
        is_finished = False
        while not is_finished:
            for step in plan:
                output = Executor.execute(step)
                feedback = Reviewer.evaluate(output, objective)
                if feedback.needs_replan:
                    plan = Planner.refine(plan, feedback)
                    break
                if feedback.is_complete:
                    is_finished = True
module Planner:
    def create(objective): return decompose(objective)
    def refine(plan, feedback): return update_plan(plan, feedback)
module Executor:
    def execute(step): return run_tool(step)
module Reviewer:
    def evaluate(output, objective): return validate(output, objective)</t>
  </si>
  <si>
    <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t>
  </si>
  <si>
    <t xml:space="preserve">Debug a JavaScript function with a logical error
</t>
  </si>
  <si>
    <t>{
  "task_id": "1",
  "answer": "The logical error often involves incorrect boolean comparisons or scope issues. Example: 'if (x = 5)' should be 'if (x === 5)'.",
  "execution_summary": "Identified common pitfalls in conditional logic and operator precedence in JavaScript functions.",
  "confidence": 1.0
}</t>
  </si>
  <si>
    <t>The logical error often involves incorrect boolean comparisons or scope issues. Example: 'if (x = 5)' should be 'if (x === 5)'.</t>
  </si>
  <si>
    <t>Identified common pitfalls in conditional logic and operator precedence in JavaScript functions.</t>
  </si>
  <si>
    <t>{
  "task_id": "1",
  "answer": "function findFirstPositive(arr) {\n  for (let i = 0; i &lt; arr.length; i++) {\n    if (arr[i] &gt; 0) {\n      return arr[i];\n    }\n  }\n  return null;\n}",
  "execution_summary": "The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"confidence": 1.0
}</t>
  </si>
  <si>
    <t>function findFirstPositive(arr) {
  for (let i = 0; i &lt; arr.length; i++) {
    if (arr[i] &gt; 0) {
      return arr[i];
    }
  }
  return null;
}</t>
  </si>
  <si>
    <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t>
  </si>
  <si>
    <t>{
  "task_id": "1",
  "quality_score": 0.95,
  "review_notes": "The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"final_answer": "The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"confidence": 1.0
}</t>
  </si>
  <si>
    <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t>
  </si>
  <si>
    <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t>
  </si>
  <si>
    <t xml:space="preserve">Design a database schema for experiment logging
</t>
  </si>
  <si>
    <t>{
  "task_id": "1",
  "answer": "{\"experiments\":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
  "execution_summary": "Designed a normalized schema featuring four primary tables: experiments (grouping), runs (execution instances), metrics (time-series logging), and artifacts (file references). Used JSONB for parameter flexibility and UUIDs for primary keys to support distributed logging.",
  "confidence": 1.0
}</t>
  </si>
  <si>
    <t>{"experiments":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t>
  </si>
  <si>
    <t>Designed a normalized schema featuring four primary tables: experiments (grouping), runs (execution instances), metrics (time-series logging), and artifacts (file references). Used JSONB for parameter flexibility and UUIDs for primary keys to support distributed logging.</t>
  </si>
  <si>
    <t>{
  "task_id": "1",
  "answer": "CREATE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
  "execution_summary": "The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"confidence": 1.0
}</t>
  </si>
  <si>
    <t>CREATE TABLE experiments (experiment_id UUID PRIMARY KEY, name TEXT NOT NULL, description TEXT, created_at TIMESTAMP WITH TIME ZONE DEFAULT CURRENT_TIMESTAMP);
CREATE TABLE runs (run_id UUID PRIMARY KEY, experiment_id UUID REFERENCES experiments(experiment_id), status TEXT, start_time TIMESTAMP WITH TIME ZONE, end_time TIMESTAMP WITH TIME ZONE, config JSONB);
CREATE TABLE parameters (param_id UUID PRIMARY KEY, run_id UUID REFERENCES runs(run_id), key TEXT NOT NULL, value TEXT);
CREATE TABLE metrics (metric_id UUID PRIMARY KEY, run_id UUID REFERENCES runs(run_id), name TEXT NOT NULL, value NUMERIC, timestamp TIMESTAMP WITH TIME ZONE DEFAULT CURRENT_TIMESTAMP);
CREATE INDEX idx_exp_name ON experiments(name);
CREATE INDEX idx_run_status ON runs(status);
CREATE INDEX idx_metrics_run_time ON metrics(run_id, timestamp);</t>
  </si>
  <si>
    <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t>
  </si>
  <si>
    <t>{
  "task_id": "1",
  "quality_score": 0.95,
  "review_notes": "The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"final_answer": "The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"confidence": 1.0
}</t>
  </si>
  <si>
    <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t>
  </si>
  <si>
    <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t>
  </si>
  <si>
    <t xml:space="preserve">Create test cases for a REST API endpoint
</t>
  </si>
  <si>
    <t>{
  "task_id": "1",
  "answer": "Test cases for GET /users/{id}: 1. Valid ID: Returns 200 OK with correct user data. 2. Non-existent ID: Returns 404 Not Found. 3. Invalid format (e.g., string instead of int): Returns 400 Bad Request. 4. Unauthorized access: Returns 401 Unauthorized. 5. Rate limiting: Returns 429 Too Many Requests.",
  "execution_summary": "Defined comprehensive functional and negative test cases for a standard REST user retrieval endpoint.",
  "confidence": 1.0
}</t>
  </si>
  <si>
    <t>Test cases for GET /users/{id}: 1. Valid ID: Returns 200 OK with correct user data. 2. Non-existent ID: Returns 404 Not Found. 3. Invalid format (e.g., string instead of int): Returns 400 Bad Request. 4. Unauthorized access: Returns 401 Unauthorized. 5. Rate limiting: Returns 429 Too Many Requests.</t>
  </si>
  <si>
    <t>Defined comprehensive functional and negative test cases for a standard REST user retrieval endpoint.</t>
  </si>
  <si>
    <t>{
  "task_id": "1",
  "answer": "Test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
  "execution_summary": "Defined a comprehensive suite of test cases categorized by functional, security, and performance criteria for a representative REST API endpoint.",
  "confidence": 1.0
}</t>
  </si>
  <si>
    <t>Test Suite for REST API Endpoint: POST /api/v1/users
1. Positive Cases:
- Create user with all required fields (201 Created).
- Create user with optional fields included (201 Created).
2. Negative Cases:
- Unauthorized access (no token) (401 Unauthorized).
- Missing mandatory fields (e.g., email) (400 Bad Request).
- Malformed JSON payload (400 Bad Request).
3. Boundary Value Cases:
- Username at minimum length (e.g., 1 char) and maximum length (e.g., 50 chars).
- Empty payload body (400 Bad Request).
- Extremely large input for fields (413 Payload Too Large).
4. Error Handling Cases:
- Resource conflict (e.g., duplicate email) (409 Conflict).
- Method not allowed (e.g., sending PUT to this endpoint) (405 Method Not Allowed).
- Simulated database failure (500 Internal Server Error).
5. Schema/Data Type Validation:
- Field type mismatch (e.g., integer in 'email' field) (422 Unprocessable Entity).
- Invalid format (e.g., invalid email syntax) (422 Unprocessable Entity).
6. Performance/Security:
- Response time under 200ms threshold.
- Rate limiting check (send 100 requests in 1 sec) (429 Too Many Requests).
- SQL injection/XSS payload detection in input strings (400 Bad Request).</t>
  </si>
  <si>
    <t>Defined a comprehensive suite of test cases categorized by functional, security, and performance criteria for a representative REST API endpoint.</t>
  </si>
  <si>
    <t>{
  "task_id": "1",
  "quality_score": 0.95,
  "review_notes": "The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"final_answer": "Comprehensive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
  "confidence": 1.0
}</t>
  </si>
  <si>
    <t>Comprehensive Test Suite for REST API Endpoint (Example: POST /users):
1. Positive Cases:
   - Create user with valid payload (201 Created).
   - Create user with minimal required fields only (201 Created).
   - Validate response body matches schema.
2. Negative Cases:
   - Missing mandatory fields (400 Bad Request).
   - Invalid data types (e.g., string in age field) (400 Bad Request).
   - Payload exceeds size limit (413 Payload Too Large).
   - Duplicate unique field values (409 Conflict).
3. Error Handling Cases:
   - Simulate database connection failure (503 Service Unavailable).
   - Trigger unexpected runtime exceptions (500 Internal Server Error).
4. Security/Authorization Cases:
   - Request without Bearer token (401 Unauthorized).
   - Request with expired/invalid token (401 Unauthorized).
   - User with insufficient permissions/scope (403 Forbidden).
   - Test rate limiting by exceeding quota (429 Too Many Requests).
5. Verification:
   - Check 'Content-Type' header is 'application/json'.
   - Verify database state change via subsequent GET request or DB query.</t>
  </si>
  <si>
    <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t>
  </si>
  <si>
    <t xml:space="preserve">Explain how to measure execution time and latency in n8n
</t>
  </si>
  <si>
    <t>{
  "task_id": "1",
  "answer": "To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"execution_summary": "Explained two methods: using internal metadata/nodes for high-level duration and using JavaScript timestamps within Function nodes for precise latency measurement.",
  "confidence": 1.0
}</t>
  </si>
  <si>
    <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t>
  </si>
  <si>
    <t>Explained two methods: using internal metadata/nodes for high-level duration and using JavaScript timestamps within Function nodes for precise latency measurement.</t>
  </si>
  <si>
    <t>{
  "task_id": "1",
  "answer": "To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
  "execution_summary": "Successfully outlined five core methods for measuring performance in n8n workflows, ranging from basic UI inspection to advanced logging patterns.",
  "confidence": 1.0
}</t>
  </si>
  <si>
    <t>To measure execution time and latency in n8n, you can utilize the following methods:
1. Execution Metadata: n8n automatically tracks the total duration of a workflow execution, which is visible in the 'Executions' tab of the UI. This provides a high-level view of performance.
2. Code Node Benchmarking: Insert a 'Code' node at the start of a segment and save the timestamp (const start = Date.now()). Insert another at the end and calculate the difference (Date.now() - start). This isolates the latency of specific sub-segments.
3. HTTP Request Metadata: When using the 'HTTP Request' node, n8n captures response headers. You can access the 'responseMetadata' object in subsequent nodes to inspect the 'duration' or 'time' headers returned by the server, providing accurate network/server latency.
4. External Monitoring: For production environments, push latency metrics to external observability platforms like Prometheus, ELK, or Datadog via the 'HTTP Request' node to track trends over time.
5. Workflow Logging Pattern: Create a standard pattern where the first node captures a timestamp (e.g., {{ $now }}) and stores it in a variable. The final node calculates the delta and sends it to a logging service or database (e.g., PostgreSQL or MongoDB) for historical analysis.</t>
  </si>
  <si>
    <t>Successfully outlined five core methods for measuring performance in n8n workflows, ranging from basic UI inspection to advanced logging patterns.</t>
  </si>
  <si>
    <t>{
  "task_id": "1",
  "quality_score": 0.95,
  "review_notes": "The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"final_answer": "To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"confidence": 1.0
}</t>
  </si>
  <si>
    <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t>
  </si>
  <si>
    <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t>
  </si>
  <si>
    <t xml:space="preserve">Design a workflow for AI-based ticket triage in an enterprise environment
</t>
  </si>
  <si>
    <t>{
  "task_id": "1",
  "answer": "1.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"execution_summary": "Designed a 7-step enterprise ticket triage pipeline focusing on automation, intelligent routing, and continuous improvement through feedback loops.",
  "confidence": 0.95
}</t>
  </si>
  <si>
    <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t>
  </si>
  <si>
    <t>Designed a 7-step enterprise ticket triage pipeline focusing on automation, intelligent routing, and continuous improvement through feedback loops.</t>
  </si>
  <si>
    <t>{
  "task_id": "1",
  "answer": "The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"execution_summary": "The workflow was designed as a modular, event-driven architecture. It integrates multi-channel ingestion, advanced NLP processing for intent/sentiment, automated routing logic, and a closed-loop refinement system to ensure continuous model accuracy improvement.",
  "confidence": 0.95
}</t>
  </si>
  <si>
    <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t>
  </si>
  <si>
    <t>The workflow was designed as a modular, event-driven architecture. It integrates multi-channel ingestion, advanced NLP processing for intent/sentiment, automated routing logic, and a closed-loop refinement system to ensure continuous model accuracy improvement.</t>
  </si>
  <si>
    <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t>
  </si>
  <si>
    <t>category</t>
  </si>
  <si>
    <t>difficulty</t>
  </si>
  <si>
    <t>task</t>
  </si>
  <si>
    <t>expected_output</t>
  </si>
  <si>
    <t>Knowledge</t>
  </si>
  <si>
    <t>easy</t>
  </si>
  <si>
    <t>Structured comparison</t>
  </si>
  <si>
    <t>Technical explanation</t>
  </si>
  <si>
    <t>Comparison report</t>
  </si>
  <si>
    <t>medium</t>
  </si>
  <si>
    <t>Executive summary</t>
  </si>
  <si>
    <t>Risk assessment</t>
  </si>
  <si>
    <t>hard</t>
  </si>
  <si>
    <t>Metric framework</t>
  </si>
  <si>
    <t>Analytical report</t>
  </si>
  <si>
    <t>Architecture recommendation</t>
  </si>
  <si>
    <t/>
  </si>
  <si>
    <t>Reasoning</t>
  </si>
  <si>
    <t>Solution recommendation</t>
  </si>
  <si>
    <t>Priority classification</t>
  </si>
  <si>
    <t>Workflow design</t>
  </si>
  <si>
    <t>Automation recommendations</t>
  </si>
  <si>
    <t>Report template</t>
  </si>
  <si>
    <t>Professional response</t>
  </si>
  <si>
    <t>Theme analysis</t>
  </si>
  <si>
    <t>Status update template</t>
  </si>
  <si>
    <t>KPI framework</t>
  </si>
  <si>
    <t>Disaster recovery strategy</t>
  </si>
  <si>
    <t>Coding</t>
  </si>
  <si>
    <t>Python code</t>
  </si>
  <si>
    <t>SQL explanation</t>
  </si>
  <si>
    <t>Code review</t>
  </si>
  <si>
    <t>Integration plan</t>
  </si>
  <si>
    <t>Pseudocode</t>
  </si>
  <si>
    <t>Debugging report</t>
  </si>
  <si>
    <t>Database schema</t>
  </si>
  <si>
    <t>Test cases</t>
  </si>
  <si>
    <t>Implementation guide</t>
  </si>
  <si>
    <t>{
  "task_id": "1",
  "answer": "Relational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"execution_summary": "I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"confidence": 1.0
}</t>
  </si>
  <si>
    <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t>
  </si>
  <si>
    <t>{
  "task_id": "1",
  "quality_score": 0.95,
  "review_notes": "The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"final_answer": "Memory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"confidence": 1.0
}</t>
  </si>
  <si>
    <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t>
  </si>
  <si>
    <t>{
  "task_id": "1",
  "answer": "Current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"execution_summary": "The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"confidence": 0.95
}</t>
  </si>
  <si>
    <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t>
  </si>
  <si>
    <t>{
  "task_id": "1",
  "quality_score": 0.95,
  "review_notes": "The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"final_answer": "#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
  "confidence": 1.0
}</t>
  </si>
  <si>
    <t># Weekly Operations Report Template
## 1. Executive Summary
* High-level overview of the week’s achievements.
* Top 3 critical priorities for the upcoming week.
## 2. Infrastructure &amp; Security
* Server Uptime: [00.00%]
* Incident Reports: [Summary of security events/outages]
* Patch Status: [Completed/Pending updates]
## 3. Development &amp; Sprint Progress
* Velocity: [Points completed vs. points planned]
* Blockers: [Issues impeding progress]
* Deployments: [Production releases/Hotfixes]
## 4. Business &amp; Client Update
* Stakeholder Feedback: [Summary of client meetings/input]
* Sales Pipeline: [Status of key leads/deals]
* Communication: [Key external announcements]
## 5. Human Resources
* Team Morale: [Pulse check/Feedback score]
* Hiring Updates: [Current status of open roles]
* Capacity Planning: [Resource availability for next sprint]
## 6. Key Performance Indicators (KPIs)
* Metric 1: [Target/Actual]
* Metric 2: [Target/Actual]</t>
  </si>
  <si>
    <t>{
  "task_id": "1",
  "quality_score": 0.85,
  "review_notes": "The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"final_answer": "The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"confidence": 0.95
}</t>
  </si>
  <si>
    <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t>
  </si>
  <si>
    <t>real_task_id</t>
  </si>
  <si>
    <t>Row Labels</t>
  </si>
  <si>
    <t>Grand Total</t>
  </si>
  <si>
    <t>Min of confidence</t>
  </si>
  <si>
    <t>Max of confidence</t>
  </si>
  <si>
    <t>Average of quality_score</t>
  </si>
  <si>
    <t>Average of confidence</t>
  </si>
  <si>
    <t>StdDev of confidence</t>
  </si>
  <si>
    <t>Count of confidence</t>
  </si>
  <si>
    <t>(All)</t>
  </si>
  <si>
    <t>StdDev of quality_score</t>
  </si>
  <si>
    <t>Workflow_Confidence_Summary</t>
  </si>
  <si>
    <t>Column Labels</t>
  </si>
  <si>
    <t>Workflow × Category</t>
  </si>
  <si>
    <t>Category</t>
  </si>
  <si>
    <t>Metric</t>
  </si>
  <si>
    <t>Overall</t>
  </si>
  <si>
    <t>Hard Tasks</t>
  </si>
  <si>
    <t>PE Improvement over Basic</t>
  </si>
  <si>
    <t>PER Improvement over Basic</t>
  </si>
  <si>
    <t>workflow_improvement</t>
  </si>
  <si>
    <t>Workflow × Difficulty</t>
  </si>
  <si>
    <t>Difficulty</t>
  </si>
  <si>
    <t>Finding</t>
  </si>
  <si>
    <t>Result</t>
  </si>
  <si>
    <t>Best Workflow</t>
  </si>
  <si>
    <t>Planner Executor Reviewer</t>
  </si>
  <si>
    <t>Overall Confidence</t>
  </si>
  <si>
    <t>Best Category</t>
  </si>
  <si>
    <t>Coding (0.993)</t>
  </si>
  <si>
    <t>Hardest Category</t>
  </si>
  <si>
    <t>Reasoning (0.942)</t>
  </si>
  <si>
    <t>Largest Improvement</t>
  </si>
  <si>
    <t>Reasoning (+11.25%)</t>
  </si>
  <si>
    <t>Hard Task Improvement</t>
  </si>
  <si>
    <t>Total Tasks</t>
  </si>
  <si>
    <t>Total Runs</t>
  </si>
  <si>
    <t>Workflow</t>
  </si>
  <si>
    <t>Planner Executor Improvement over Basic</t>
  </si>
  <si>
    <t>Planner Executor Reviewer Improvement over Basic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</si>
</sst>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5">
    <xf numFmtId="0" fontId="0" fillId="0" borderId="0" xfId="0"/>
    <xf numFmtId="22" fontId="0" fillId="0" borderId="0" xfId="0" applyNumberFormat="1"/>
    <xf numFmtId="0" fontId="0" fillId="0" borderId="0" xfId="0" applyAlignment="1">
      <alignment horizontal="center"/>
    </xf>
    <xf numFmtId="0" fontId="0" fillId="0" borderId="0" xfId="0" applyAlignment="1">
      <alignment horizontal="left" vertical="top"/>
    </xf>
    <xf numFmtId="49" fontId="0" fillId="0" borderId="0" xfId="0" applyNumberFormat="1" applyAlignment="1">
      <alignment horizontal="left" vertical="top"/>
    </xf>
    <xf numFmtId="49" fontId="0" fillId="0" borderId="0" xfId="0" applyNumberFormat="1"/>
    <xf numFmtId="0" fontId="0" fillId="0" borderId="0" xfId="0" pivotButton="1"/>
    <xf numFmtId="0" fontId="0" fillId="0" borderId="0" xfId="0" applyAlignment="1">
      <alignment horizontal="left"/>
    </xf>
    <xf numFmtId="49" fontId="0" fillId="0" borderId="0" xfId="0" applyNumberFormat="1" applyAlignment="1">
      <alignment horizontal="left" vertical="top" wrapText="1"/>
    </xf>
    <xf numFmtId="0" fontId="16" fillId="0" borderId="0" xfId="0" applyFont="1" applyAlignment="1">
      <alignment horizontal="center" vertical="top" wrapText="1"/>
    </xf>
    <xf numFmtId="0" fontId="0" fillId="0" borderId="0" xfId="0" applyAlignment="1">
      <alignment vertical="top" wrapText="1"/>
    </xf>
    <xf numFmtId="164" fontId="0" fillId="0" borderId="0" xfId="0" applyNumberFormat="1"/>
    <xf numFmtId="165" fontId="0" fillId="0" borderId="0" xfId="0" applyNumberFormat="1"/>
    <xf numFmtId="0" fontId="0" fillId="0" borderId="0" xfId="0" applyAlignment="1">
      <alignment horizontal="center" vertical="top" wrapText="1"/>
    </xf>
    <xf numFmtId="10" fontId="0" fillId="0" borderId="0" xfId="42" applyNumberFormat="1" applyFont="1" applyAlignment="1">
      <alignment horizontal="center"/>
    </xf>
    <xf numFmtId="10" fontId="0" fillId="0" borderId="0" xfId="0" applyNumberFormat="1" applyAlignment="1">
      <alignment horizontal="center"/>
    </xf>
    <xf numFmtId="10" fontId="0" fillId="0" borderId="0" xfId="0" applyNumberFormat="1" applyAlignment="1">
      <alignment horizontal="left"/>
    </xf>
    <xf numFmtId="0" fontId="18" fillId="33" borderId="12" xfId="0" applyFont="1" applyFill="1" applyBorder="1" applyAlignment="1">
      <alignment horizontal="left"/>
    </xf>
    <xf numFmtId="0" fontId="18" fillId="33" borderId="13" xfId="0" applyFont="1" applyFill="1" applyBorder="1" applyAlignment="1">
      <alignment horizontal="left"/>
    </xf>
    <xf numFmtId="0" fontId="0" fillId="0" borderId="14" xfId="0" applyBorder="1" applyAlignment="1">
      <alignment horizontal="left"/>
    </xf>
    <xf numFmtId="164" fontId="0" fillId="0" borderId="10" xfId="0" applyNumberFormat="1" applyBorder="1" applyAlignment="1">
      <alignment horizontal="left"/>
    </xf>
    <xf numFmtId="164" fontId="0" fillId="0" borderId="15" xfId="0" applyNumberFormat="1" applyBorder="1" applyAlignment="1">
      <alignment horizontal="left"/>
    </xf>
    <xf numFmtId="0" fontId="0" fillId="0" borderId="16" xfId="0" applyBorder="1" applyAlignment="1">
      <alignment horizontal="left"/>
    </xf>
    <xf numFmtId="164" fontId="0" fillId="0" borderId="17" xfId="0" applyNumberFormat="1" applyBorder="1" applyAlignment="1">
      <alignment horizontal="left"/>
    </xf>
    <xf numFmtId="164" fontId="0" fillId="0" borderId="18" xfId="0" applyNumberFormat="1" applyBorder="1" applyAlignment="1">
      <alignment horizontal="left"/>
    </xf>
    <xf numFmtId="164" fontId="0" fillId="0" borderId="10" xfId="0" applyNumberFormat="1" applyBorder="1"/>
    <xf numFmtId="164" fontId="0" fillId="0" borderId="15" xfId="0" applyNumberFormat="1" applyBorder="1"/>
    <xf numFmtId="164" fontId="0" fillId="0" borderId="17" xfId="0" applyNumberFormat="1" applyBorder="1"/>
    <xf numFmtId="164" fontId="0" fillId="0" borderId="18" xfId="0" applyNumberFormat="1" applyBorder="1"/>
    <xf numFmtId="0" fontId="18" fillId="33" borderId="11" xfId="0" applyFont="1" applyFill="1" applyBorder="1"/>
    <xf numFmtId="0" fontId="18" fillId="33" borderId="12" xfId="0" applyFont="1" applyFill="1" applyBorder="1"/>
    <xf numFmtId="0" fontId="18" fillId="33" borderId="13" xfId="0" applyFont="1" applyFill="1" applyBorder="1"/>
    <xf numFmtId="165" fontId="0" fillId="0" borderId="10" xfId="0" applyNumberFormat="1" applyBorder="1"/>
    <xf numFmtId="165" fontId="0" fillId="0" borderId="15" xfId="0" applyNumberFormat="1" applyBorder="1"/>
    <xf numFmtId="165" fontId="0" fillId="0" borderId="17" xfId="0" applyNumberFormat="1" applyBorder="1"/>
    <xf numFmtId="165" fontId="0" fillId="0" borderId="18" xfId="0" applyNumberFormat="1" applyBorder="1"/>
    <xf numFmtId="0" fontId="18" fillId="0" borderId="11" xfId="0" applyFont="1" applyBorder="1" applyAlignment="1">
      <alignment horizontal="center" vertical="top" wrapText="1"/>
    </xf>
    <xf numFmtId="0" fontId="19" fillId="0" borderId="12" xfId="0" applyFont="1" applyBorder="1" applyAlignment="1">
      <alignment horizontal="center" vertical="top"/>
    </xf>
    <xf numFmtId="0" fontId="19" fillId="0" borderId="13" xfId="0" applyFont="1" applyBorder="1" applyAlignment="1">
      <alignment horizontal="center" vertical="top"/>
    </xf>
    <xf numFmtId="0" fontId="0" fillId="0" borderId="14" xfId="0" applyBorder="1" applyAlignment="1">
      <alignment vertical="top" wrapText="1"/>
    </xf>
    <xf numFmtId="10" fontId="0" fillId="0" borderId="10" xfId="0" applyNumberFormat="1" applyBorder="1" applyAlignment="1">
      <alignment horizontal="center" vertical="top"/>
    </xf>
    <xf numFmtId="10" fontId="0" fillId="0" borderId="15" xfId="0" applyNumberFormat="1" applyBorder="1" applyAlignment="1">
      <alignment horizontal="center" vertical="top"/>
    </xf>
    <xf numFmtId="0" fontId="0" fillId="0" borderId="16" xfId="0" applyBorder="1" applyAlignment="1">
      <alignment vertical="top" wrapText="1"/>
    </xf>
    <xf numFmtId="10" fontId="0" fillId="0" borderId="17" xfId="0" applyNumberFormat="1" applyBorder="1" applyAlignment="1">
      <alignment horizontal="center" vertical="top"/>
    </xf>
    <xf numFmtId="10" fontId="0" fillId="0" borderId="18" xfId="0" applyNumberForma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0">
    <dxf>
      <font>
        <strike val="0"/>
        <outline val="0"/>
        <shadow val="0"/>
        <u val="none"/>
        <vertAlign val="baseline"/>
        <sz val="11"/>
        <color auto="1"/>
        <name val="Calibri"/>
        <family val="2"/>
        <scheme val="minor"/>
      </font>
      <alignment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alignment horizontal="center"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165" formatCode="0.000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000"/>
    </dxf>
    <dxf>
      <numFmt numFmtId="164" formatCode="0.000"/>
    </dxf>
    <dxf>
      <numFmt numFmtId="164" formatCode="0.000"/>
    </dxf>
    <dxf>
      <numFmt numFmtId="164" formatCode="0.000"/>
    </dxf>
    <dxf>
      <numFmt numFmtId="164" formatCode="0.000"/>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30" formatCode="@"/>
      <alignment horizontal="left" vertical="top" textRotation="0" wrapText="0" indent="0" justifyLastLine="0" shrinkToFit="0" readingOrder="0"/>
    </dxf>
    <dxf>
      <numFmt numFmtId="27" formatCode="m/d/yyyy\ h:mm"/>
    </dxf>
    <dxf>
      <numFmt numFmtId="0" formatCode="General"/>
    </dxf>
    <dxf>
      <numFmt numFmtId="0" formatCode="General"/>
    </dxf>
    <dxf>
      <numFmt numFmtId="164" formatCode="0.000"/>
    </dxf>
    <dxf>
      <numFmt numFmtId="164" formatCode="0.000"/>
    </dxf>
    <dxf>
      <numFmt numFmtId="164" formatCode="0.000"/>
    </dxf>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Workflow_Summary!$D$6</c:f>
              <c:strCache>
                <c:ptCount val="1"/>
                <c:pt idx="0">
                  <c:v>Average of quality_score</c:v>
                </c:pt>
              </c:strCache>
            </c:strRef>
          </c:tx>
          <c:spPr>
            <a:solidFill>
              <a:schemeClr val="accent1"/>
            </a:solidFill>
            <a:ln>
              <a:noFill/>
            </a:ln>
            <a:effectLst/>
          </c:spPr>
          <c:invertIfNegative val="0"/>
          <c:cat>
            <c:strRef>
              <c:f>Workflow_Summary!$C$7:$C$10</c:f>
              <c:strCache>
                <c:ptCount val="3"/>
                <c:pt idx="0">
                  <c:v>basic_agent</c:v>
                </c:pt>
                <c:pt idx="1">
                  <c:v>planner_executor</c:v>
                </c:pt>
                <c:pt idx="2">
                  <c:v>planner_executor_reviewer</c:v>
                </c:pt>
              </c:strCache>
            </c:strRef>
          </c:cat>
          <c:val>
            <c:numRef>
              <c:f>Workflow_Summary!$D$7:$D$10</c:f>
              <c:numCache>
                <c:formatCode>General</c:formatCode>
                <c:ptCount val="3"/>
                <c:pt idx="2">
                  <c:v>0.92699999999999994</c:v>
                </c:pt>
              </c:numCache>
            </c:numRef>
          </c:val>
          <c:extLst>
            <c:ext xmlns:c16="http://schemas.microsoft.com/office/drawing/2014/chart" uri="{C3380CC4-5D6E-409C-BE32-E72D297353CC}">
              <c16:uniqueId val="{00000008-5583-4A24-AD8B-5B5E4410052E}"/>
            </c:ext>
          </c:extLst>
        </c:ser>
        <c:ser>
          <c:idx val="1"/>
          <c:order val="1"/>
          <c:tx>
            <c:strRef>
              <c:f>Workflow_Summary!$E$6</c:f>
              <c:strCache>
                <c:ptCount val="1"/>
                <c:pt idx="0">
                  <c:v>StdDev of quality_score</c:v>
                </c:pt>
              </c:strCache>
            </c:strRef>
          </c:tx>
          <c:spPr>
            <a:solidFill>
              <a:schemeClr val="accent2"/>
            </a:solidFill>
            <a:ln>
              <a:noFill/>
            </a:ln>
            <a:effectLst/>
          </c:spPr>
          <c:invertIfNegative val="0"/>
          <c:cat>
            <c:strRef>
              <c:f>Workflow_Summary!$C$7:$C$10</c:f>
              <c:strCache>
                <c:ptCount val="3"/>
                <c:pt idx="0">
                  <c:v>basic_agent</c:v>
                </c:pt>
                <c:pt idx="1">
                  <c:v>planner_executor</c:v>
                </c:pt>
                <c:pt idx="2">
                  <c:v>planner_executor_reviewer</c:v>
                </c:pt>
              </c:strCache>
            </c:strRef>
          </c:cat>
          <c:val>
            <c:numRef>
              <c:f>Workflow_Summary!$E$7:$E$10</c:f>
              <c:numCache>
                <c:formatCode>General</c:formatCode>
                <c:ptCount val="3"/>
                <c:pt idx="2">
                  <c:v>0.10511569980182504</c:v>
                </c:pt>
              </c:numCache>
            </c:numRef>
          </c:val>
          <c:extLst>
            <c:ext xmlns:c16="http://schemas.microsoft.com/office/drawing/2014/chart" uri="{C3380CC4-5D6E-409C-BE32-E72D297353CC}">
              <c16:uniqueId val="{00000009-5583-4A24-AD8B-5B5E4410052E}"/>
            </c:ext>
          </c:extLst>
        </c:ser>
        <c:dLbls>
          <c:showLegendKey val="0"/>
          <c:showVal val="0"/>
          <c:showCatName val="0"/>
          <c:showSerName val="0"/>
          <c:showPercent val="0"/>
          <c:showBubbleSize val="0"/>
        </c:dLbls>
        <c:gapWidth val="219"/>
        <c:overlap val="-27"/>
        <c:axId val="293293624"/>
        <c:axId val="293293984"/>
      </c:barChart>
      <c:catAx>
        <c:axId val="29329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3984"/>
        <c:crosses val="autoZero"/>
        <c:auto val="1"/>
        <c:lblAlgn val="ctr"/>
        <c:lblOffset val="100"/>
        <c:noMultiLvlLbl val="0"/>
      </c:catAx>
      <c:valAx>
        <c:axId val="2932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3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Workflow_Summary!$D$23</c:f>
              <c:strCache>
                <c:ptCount val="1"/>
                <c:pt idx="0">
                  <c:v>Average of confidence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Workflow_Summary!$D$24:$D$27</c:f>
              <c:numCache>
                <c:formatCode>0.000</c:formatCode>
                <c:ptCount val="3"/>
                <c:pt idx="0">
                  <c:v>0.94999999999999984</c:v>
                </c:pt>
                <c:pt idx="1">
                  <c:v>0.97933333333333317</c:v>
                </c:pt>
                <c:pt idx="2">
                  <c:v>0.98566666666666658</c:v>
                </c:pt>
              </c:numCache>
            </c:numRef>
          </c:val>
          <c:extLst>
            <c:ext xmlns:c16="http://schemas.microsoft.com/office/drawing/2014/chart" uri="{C3380CC4-5D6E-409C-BE32-E72D297353CC}">
              <c16:uniqueId val="{00000000-F9F0-40CC-95D0-6BD073082D36}"/>
            </c:ext>
          </c:extLst>
        </c:ser>
        <c:ser>
          <c:idx val="1"/>
          <c:order val="1"/>
          <c:tx>
            <c:strRef>
              <c:f>Workflow_Summary!$E$23</c:f>
              <c:strCache>
                <c:ptCount val="1"/>
                <c:pt idx="0">
                  <c:v>Min of confidence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Workflow_Summary!$E$24:$E$27</c:f>
              <c:numCache>
                <c:formatCode>0.000</c:formatCode>
                <c:ptCount val="3"/>
                <c:pt idx="0">
                  <c:v>0</c:v>
                </c:pt>
                <c:pt idx="1">
                  <c:v>0.95</c:v>
                </c:pt>
                <c:pt idx="2">
                  <c:v>0.9</c:v>
                </c:pt>
              </c:numCache>
            </c:numRef>
          </c:val>
          <c:extLst>
            <c:ext xmlns:c16="http://schemas.microsoft.com/office/drawing/2014/chart" uri="{C3380CC4-5D6E-409C-BE32-E72D297353CC}">
              <c16:uniqueId val="{00000003-F9F0-40CC-95D0-6BD073082D36}"/>
            </c:ext>
          </c:extLst>
        </c:ser>
        <c:ser>
          <c:idx val="2"/>
          <c:order val="2"/>
          <c:tx>
            <c:strRef>
              <c:f>Workflow_Summary!$F$23</c:f>
              <c:strCache>
                <c:ptCount val="1"/>
                <c:pt idx="0">
                  <c:v>Max of confidence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Workflow_Summary!$F$24:$F$27</c:f>
              <c:numCache>
                <c:formatCode>0.000</c:formatCode>
                <c:ptCount val="3"/>
                <c:pt idx="0">
                  <c:v>1</c:v>
                </c:pt>
                <c:pt idx="1">
                  <c:v>1</c:v>
                </c:pt>
                <c:pt idx="2">
                  <c:v>1</c:v>
                </c:pt>
              </c:numCache>
            </c:numRef>
          </c:val>
          <c:extLst>
            <c:ext xmlns:c16="http://schemas.microsoft.com/office/drawing/2014/chart" uri="{C3380CC4-5D6E-409C-BE32-E72D297353CC}">
              <c16:uniqueId val="{00000004-F9F0-40CC-95D0-6BD073082D36}"/>
            </c:ext>
          </c:extLst>
        </c:ser>
        <c:ser>
          <c:idx val="3"/>
          <c:order val="3"/>
          <c:tx>
            <c:strRef>
              <c:f>Workflow_Summary!$G$23</c:f>
              <c:strCache>
                <c:ptCount val="1"/>
                <c:pt idx="0">
                  <c:v>StdDev of confidence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Workflow_Summary!$G$24:$G$27</c:f>
              <c:numCache>
                <c:formatCode>0.000</c:formatCode>
                <c:ptCount val="3"/>
                <c:pt idx="0">
                  <c:v>0.18099342720014833</c:v>
                </c:pt>
                <c:pt idx="1">
                  <c:v>2.4625937172205889E-2</c:v>
                </c:pt>
                <c:pt idx="2">
                  <c:v>2.4869775775559051E-2</c:v>
                </c:pt>
              </c:numCache>
            </c:numRef>
          </c:val>
          <c:extLst>
            <c:ext xmlns:c16="http://schemas.microsoft.com/office/drawing/2014/chart" uri="{C3380CC4-5D6E-409C-BE32-E72D297353CC}">
              <c16:uniqueId val="{00000005-F9F0-40CC-95D0-6BD073082D36}"/>
            </c:ext>
          </c:extLst>
        </c:ser>
        <c:ser>
          <c:idx val="4"/>
          <c:order val="4"/>
          <c:tx>
            <c:strRef>
              <c:f>Workflow_Summary!$H$23</c:f>
              <c:strCache>
                <c:ptCount val="1"/>
                <c:pt idx="0">
                  <c:v>Count of confidence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Workflow_Summary!$H$24:$H$27</c:f>
              <c:numCache>
                <c:formatCode>General</c:formatCode>
                <c:ptCount val="3"/>
                <c:pt idx="0">
                  <c:v>30</c:v>
                </c:pt>
                <c:pt idx="1">
                  <c:v>30</c:v>
                </c:pt>
                <c:pt idx="2">
                  <c:v>30</c:v>
                </c:pt>
              </c:numCache>
            </c:numRef>
          </c:val>
          <c:extLst>
            <c:ext xmlns:c16="http://schemas.microsoft.com/office/drawing/2014/chart" uri="{C3380CC4-5D6E-409C-BE32-E72D297353CC}">
              <c16:uniqueId val="{00000002-01F8-485C-AA8C-913CD630C17B}"/>
            </c:ext>
          </c:extLst>
        </c:ser>
        <c:dLbls>
          <c:dLblPos val="outEnd"/>
          <c:showLegendKey val="0"/>
          <c:showVal val="1"/>
          <c:showCatName val="0"/>
          <c:showSerName val="0"/>
          <c:showPercent val="0"/>
          <c:showBubbleSize val="0"/>
        </c:dLbls>
        <c:gapWidth val="219"/>
        <c:overlap val="-27"/>
        <c:axId val="628812144"/>
        <c:axId val="628807464"/>
      </c:barChart>
      <c:catAx>
        <c:axId val="6288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7464"/>
        <c:crosses val="autoZero"/>
        <c:auto val="1"/>
        <c:lblAlgn val="ctr"/>
        <c:lblOffset val="100"/>
        <c:noMultiLvlLbl val="0"/>
      </c:catAx>
      <c:valAx>
        <c:axId val="6288074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Workflow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Workflow_Summary!$D$57</c:f>
              <c:strCache>
                <c:ptCount val="1"/>
                <c:pt idx="0">
                  <c:v>Average of confidence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Workflow_Summary!$C$58:$C$61</c:f>
              <c:strCache>
                <c:ptCount val="3"/>
                <c:pt idx="0">
                  <c:v>basic_agent</c:v>
                </c:pt>
                <c:pt idx="1">
                  <c:v>planner_executor</c:v>
                </c:pt>
                <c:pt idx="2">
                  <c:v>planner_executor_reviewer</c:v>
                </c:pt>
              </c:strCache>
            </c:strRef>
          </c:cat>
          <c:val>
            <c:numRef>
              <c:f>Workflow_Summary!$D$58:$D$61</c:f>
              <c:numCache>
                <c:formatCode>0.000</c:formatCode>
                <c:ptCount val="3"/>
                <c:pt idx="0">
                  <c:v>0.94999999999999984</c:v>
                </c:pt>
                <c:pt idx="1">
                  <c:v>0.97933333333333317</c:v>
                </c:pt>
                <c:pt idx="2">
                  <c:v>0.98566666666666658</c:v>
                </c:pt>
              </c:numCache>
            </c:numRef>
          </c:val>
          <c:extLst>
            <c:ext xmlns:c16="http://schemas.microsoft.com/office/drawing/2014/chart" uri="{C3380CC4-5D6E-409C-BE32-E72D297353CC}">
              <c16:uniqueId val="{00000000-ADC7-48D6-BC50-EC4FCE01528B}"/>
            </c:ext>
          </c:extLst>
        </c:ser>
        <c:ser>
          <c:idx val="1"/>
          <c:order val="1"/>
          <c:tx>
            <c:strRef>
              <c:f>Workflow_Summary!$E$57</c:f>
              <c:strCache>
                <c:ptCount val="1"/>
                <c:pt idx="0">
                  <c:v>StdDev of confidence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Workflow_Summary!$C$58:$C$61</c:f>
              <c:strCache>
                <c:ptCount val="3"/>
                <c:pt idx="0">
                  <c:v>basic_agent</c:v>
                </c:pt>
                <c:pt idx="1">
                  <c:v>planner_executor</c:v>
                </c:pt>
                <c:pt idx="2">
                  <c:v>planner_executor_reviewer</c:v>
                </c:pt>
              </c:strCache>
            </c:strRef>
          </c:cat>
          <c:val>
            <c:numRef>
              <c:f>Workflow_Summary!$E$58:$E$61</c:f>
              <c:numCache>
                <c:formatCode>0.000</c:formatCode>
                <c:ptCount val="3"/>
                <c:pt idx="0">
                  <c:v>0.18099342720014833</c:v>
                </c:pt>
                <c:pt idx="1">
                  <c:v>2.4625937172205889E-2</c:v>
                </c:pt>
                <c:pt idx="2">
                  <c:v>2.4869775775559051E-2</c:v>
                </c:pt>
              </c:numCache>
            </c:numRef>
          </c:val>
          <c:extLst>
            <c:ext xmlns:c16="http://schemas.microsoft.com/office/drawing/2014/chart" uri="{C3380CC4-5D6E-409C-BE32-E72D297353CC}">
              <c16:uniqueId val="{00000001-ADC7-48D6-BC50-EC4FCE01528B}"/>
            </c:ext>
          </c:extLst>
        </c:ser>
        <c:dLbls>
          <c:dLblPos val="outEnd"/>
          <c:showLegendKey val="0"/>
          <c:showVal val="1"/>
          <c:showCatName val="0"/>
          <c:showSerName val="0"/>
          <c:showPercent val="0"/>
          <c:showBubbleSize val="0"/>
        </c:dLbls>
        <c:gapWidth val="219"/>
        <c:overlap val="-27"/>
        <c:axId val="597904640"/>
        <c:axId val="597897800"/>
      </c:barChart>
      <c:catAx>
        <c:axId val="5979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97800"/>
        <c:crosses val="autoZero"/>
        <c:auto val="1"/>
        <c:lblAlgn val="ctr"/>
        <c:lblOffset val="100"/>
        <c:noMultiLvlLbl val="0"/>
      </c:catAx>
      <c:valAx>
        <c:axId val="597897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V0.2.xlsx]Category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Analysis'!$E$5</c:f>
              <c:strCache>
                <c:ptCount val="1"/>
                <c:pt idx="0">
                  <c:v>Total</c:v>
                </c:pt>
              </c:strCache>
            </c:strRef>
          </c:tx>
          <c:spPr>
            <a:solidFill>
              <a:schemeClr val="accent1"/>
            </a:solidFill>
            <a:ln>
              <a:noFill/>
            </a:ln>
            <a:effectLst/>
          </c:spPr>
          <c:invertIfNegative val="0"/>
          <c:cat>
            <c:strRef>
              <c:f>'Category Analysis'!$D$6:$D$9</c:f>
              <c:strCache>
                <c:ptCount val="3"/>
                <c:pt idx="0">
                  <c:v>Coding</c:v>
                </c:pt>
                <c:pt idx="1">
                  <c:v>Knowledge</c:v>
                </c:pt>
                <c:pt idx="2">
                  <c:v>Reasoning</c:v>
                </c:pt>
              </c:strCache>
            </c:strRef>
          </c:cat>
          <c:val>
            <c:numRef>
              <c:f>'Category Analysis'!$E$6:$E$9</c:f>
              <c:numCache>
                <c:formatCode>0.000</c:formatCode>
                <c:ptCount val="3"/>
                <c:pt idx="0">
                  <c:v>0.99285714285714288</c:v>
                </c:pt>
                <c:pt idx="1">
                  <c:v>0.98266666666666647</c:v>
                </c:pt>
                <c:pt idx="2">
                  <c:v>0.94233333333333336</c:v>
                </c:pt>
              </c:numCache>
            </c:numRef>
          </c:val>
          <c:extLst>
            <c:ext xmlns:c16="http://schemas.microsoft.com/office/drawing/2014/chart" uri="{C3380CC4-5D6E-409C-BE32-E72D297353CC}">
              <c16:uniqueId val="{00000000-F366-4C99-94B6-341E4B8821EF}"/>
            </c:ext>
          </c:extLst>
        </c:ser>
        <c:dLbls>
          <c:showLegendKey val="0"/>
          <c:showVal val="0"/>
          <c:showCatName val="0"/>
          <c:showSerName val="0"/>
          <c:showPercent val="0"/>
          <c:showBubbleSize val="0"/>
        </c:dLbls>
        <c:gapWidth val="219"/>
        <c:overlap val="-27"/>
        <c:axId val="664289440"/>
        <c:axId val="664289800"/>
      </c:barChart>
      <c:catAx>
        <c:axId val="6642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89800"/>
        <c:crosses val="autoZero"/>
        <c:auto val="1"/>
        <c:lblAlgn val="ctr"/>
        <c:lblOffset val="100"/>
        <c:noMultiLvlLbl val="0"/>
      </c:catAx>
      <c:valAx>
        <c:axId val="664289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V0.2.xlsx]Category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Analysis'!$E$23:$E$24</c:f>
              <c:strCache>
                <c:ptCount val="1"/>
                <c:pt idx="0">
                  <c:v>Coding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Analysis'!$E$25:$E$28</c:f>
              <c:numCache>
                <c:formatCode>0.000</c:formatCode>
                <c:ptCount val="3"/>
                <c:pt idx="0">
                  <c:v>0.99499999999999988</c:v>
                </c:pt>
                <c:pt idx="1">
                  <c:v>0.99444444444444435</c:v>
                </c:pt>
                <c:pt idx="2">
                  <c:v>0.98888888888888893</c:v>
                </c:pt>
              </c:numCache>
            </c:numRef>
          </c:val>
          <c:extLst>
            <c:ext xmlns:c16="http://schemas.microsoft.com/office/drawing/2014/chart" uri="{C3380CC4-5D6E-409C-BE32-E72D297353CC}">
              <c16:uniqueId val="{00000004-1BDF-4695-BFC0-08DDBA71AA1C}"/>
            </c:ext>
          </c:extLst>
        </c:ser>
        <c:ser>
          <c:idx val="1"/>
          <c:order val="1"/>
          <c:tx>
            <c:strRef>
              <c:f>'Category Analysis'!$F$23:$F$24</c:f>
              <c:strCache>
                <c:ptCount val="1"/>
                <c:pt idx="0">
                  <c:v>Knowledge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Analysis'!$F$25:$F$28</c:f>
              <c:numCache>
                <c:formatCode>0.000</c:formatCode>
                <c:ptCount val="3"/>
                <c:pt idx="0">
                  <c:v>0.97499999999999998</c:v>
                </c:pt>
                <c:pt idx="1">
                  <c:v>0.97999999999999987</c:v>
                </c:pt>
                <c:pt idx="2">
                  <c:v>0.99299999999999999</c:v>
                </c:pt>
              </c:numCache>
            </c:numRef>
          </c:val>
          <c:extLst>
            <c:ext xmlns:c16="http://schemas.microsoft.com/office/drawing/2014/chart" uri="{C3380CC4-5D6E-409C-BE32-E72D297353CC}">
              <c16:uniqueId val="{00000005-1BDF-4695-BFC0-08DDBA71AA1C}"/>
            </c:ext>
          </c:extLst>
        </c:ser>
        <c:ser>
          <c:idx val="2"/>
          <c:order val="2"/>
          <c:tx>
            <c:strRef>
              <c:f>'Category Analysis'!$G$23:$G$24</c:f>
              <c:strCache>
                <c:ptCount val="1"/>
                <c:pt idx="0">
                  <c:v>Reasoning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Analysis'!$G$25:$G$28</c:f>
              <c:numCache>
                <c:formatCode>0.000</c:formatCode>
                <c:ptCount val="3"/>
                <c:pt idx="0">
                  <c:v>0.87999999999999989</c:v>
                </c:pt>
                <c:pt idx="1">
                  <c:v>0.96799999999999997</c:v>
                </c:pt>
                <c:pt idx="2">
                  <c:v>0.97899999999999987</c:v>
                </c:pt>
              </c:numCache>
            </c:numRef>
          </c:val>
          <c:extLst>
            <c:ext xmlns:c16="http://schemas.microsoft.com/office/drawing/2014/chart" uri="{C3380CC4-5D6E-409C-BE32-E72D297353CC}">
              <c16:uniqueId val="{00000006-1BDF-4695-BFC0-08DDBA71AA1C}"/>
            </c:ext>
          </c:extLst>
        </c:ser>
        <c:dLbls>
          <c:dLblPos val="outEnd"/>
          <c:showLegendKey val="0"/>
          <c:showVal val="1"/>
          <c:showCatName val="0"/>
          <c:showSerName val="0"/>
          <c:showPercent val="0"/>
          <c:showBubbleSize val="0"/>
        </c:dLbls>
        <c:gapWidth val="219"/>
        <c:overlap val="-27"/>
        <c:axId val="660544664"/>
        <c:axId val="660538544"/>
      </c:barChart>
      <c:catAx>
        <c:axId val="66054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38544"/>
        <c:crosses val="autoZero"/>
        <c:auto val="1"/>
        <c:lblAlgn val="ctr"/>
        <c:lblOffset val="100"/>
        <c:noMultiLvlLbl val="0"/>
      </c:catAx>
      <c:valAx>
        <c:axId val="6605385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4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V0.2.xlsx]Difficulty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'Difficulty Analysis'!$D$4</c:f>
              <c:strCache>
                <c:ptCount val="1"/>
                <c:pt idx="0">
                  <c:v>Total</c:v>
                </c:pt>
              </c:strCache>
            </c:strRef>
          </c:tx>
          <c:spPr>
            <a:solidFill>
              <a:schemeClr val="accent1"/>
            </a:solidFill>
            <a:ln>
              <a:noFill/>
            </a:ln>
            <a:effectLst/>
          </c:spPr>
          <c:invertIfNegative val="0"/>
          <c:cat>
            <c:strRef>
              <c:f>'Difficulty Analysis'!$C$5:$C$8</c:f>
              <c:strCache>
                <c:ptCount val="3"/>
                <c:pt idx="0">
                  <c:v>easy</c:v>
                </c:pt>
                <c:pt idx="1">
                  <c:v>hard</c:v>
                </c:pt>
                <c:pt idx="2">
                  <c:v>medium</c:v>
                </c:pt>
              </c:strCache>
            </c:strRef>
          </c:cat>
          <c:val>
            <c:numRef>
              <c:f>'Difficulty Analysis'!$D$5:$D$8</c:f>
              <c:numCache>
                <c:formatCode>0.000</c:formatCode>
                <c:ptCount val="3"/>
                <c:pt idx="0">
                  <c:v>0.98476190476190462</c:v>
                </c:pt>
                <c:pt idx="1">
                  <c:v>0.9526470588235294</c:v>
                </c:pt>
                <c:pt idx="2">
                  <c:v>0.98424242424242414</c:v>
                </c:pt>
              </c:numCache>
            </c:numRef>
          </c:val>
          <c:extLst>
            <c:ext xmlns:c16="http://schemas.microsoft.com/office/drawing/2014/chart" uri="{C3380CC4-5D6E-409C-BE32-E72D297353CC}">
              <c16:uniqueId val="{00000000-8A3A-45B4-9217-200D9EFA48A5}"/>
            </c:ext>
          </c:extLst>
        </c:ser>
        <c:dLbls>
          <c:showLegendKey val="0"/>
          <c:showVal val="0"/>
          <c:showCatName val="0"/>
          <c:showSerName val="0"/>
          <c:showPercent val="0"/>
          <c:showBubbleSize val="0"/>
        </c:dLbls>
        <c:gapWidth val="219"/>
        <c:overlap val="-27"/>
        <c:axId val="664297000"/>
        <c:axId val="664290880"/>
      </c:barChart>
      <c:catAx>
        <c:axId val="664297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0880"/>
        <c:crosses val="autoZero"/>
        <c:auto val="1"/>
        <c:lblAlgn val="ctr"/>
        <c:lblOffset val="100"/>
        <c:noMultiLvlLbl val="0"/>
      </c:catAx>
      <c:valAx>
        <c:axId val="664290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V0.2.xlsx]Difficulty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 Difficulty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'Difficulty Analysis'!$D$16:$D$17</c:f>
              <c:strCache>
                <c:ptCount val="1"/>
                <c:pt idx="0">
                  <c:v>easy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Analysis'!$D$18:$D$21</c:f>
              <c:numCache>
                <c:formatCode>0.0000</c:formatCode>
                <c:ptCount val="3"/>
                <c:pt idx="0">
                  <c:v>0.98571428571428577</c:v>
                </c:pt>
                <c:pt idx="1">
                  <c:v>0.97857142857142865</c:v>
                </c:pt>
                <c:pt idx="2">
                  <c:v>0.99</c:v>
                </c:pt>
              </c:numCache>
            </c:numRef>
          </c:val>
          <c:extLst>
            <c:ext xmlns:c16="http://schemas.microsoft.com/office/drawing/2014/chart" uri="{C3380CC4-5D6E-409C-BE32-E72D297353CC}">
              <c16:uniqueId val="{00000000-8689-44EB-909F-CE63C4AA4A82}"/>
            </c:ext>
          </c:extLst>
        </c:ser>
        <c:ser>
          <c:idx val="1"/>
          <c:order val="1"/>
          <c:tx>
            <c:strRef>
              <c:f>'Difficulty Analysis'!$E$16:$E$17</c:f>
              <c:strCache>
                <c:ptCount val="1"/>
                <c:pt idx="0">
                  <c:v>hard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Analysis'!$E$18:$E$21</c:f>
              <c:numCache>
                <c:formatCode>0.0000</c:formatCode>
                <c:ptCount val="3"/>
                <c:pt idx="0">
                  <c:v>0.89583333333333337</c:v>
                </c:pt>
                <c:pt idx="1">
                  <c:v>0.98000000000000009</c:v>
                </c:pt>
                <c:pt idx="2">
                  <c:v>0.98727272727272719</c:v>
                </c:pt>
              </c:numCache>
            </c:numRef>
          </c:val>
          <c:extLst>
            <c:ext xmlns:c16="http://schemas.microsoft.com/office/drawing/2014/chart" uri="{C3380CC4-5D6E-409C-BE32-E72D297353CC}">
              <c16:uniqueId val="{00000001-8689-44EB-909F-CE63C4AA4A82}"/>
            </c:ext>
          </c:extLst>
        </c:ser>
        <c:ser>
          <c:idx val="2"/>
          <c:order val="2"/>
          <c:tx>
            <c:strRef>
              <c:f>'Difficulty Analysis'!$F$16:$F$17</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Analysis'!$F$18:$F$21</c:f>
              <c:numCache>
                <c:formatCode>0.0000</c:formatCode>
                <c:ptCount val="3"/>
                <c:pt idx="0">
                  <c:v>0.98636363636363644</c:v>
                </c:pt>
                <c:pt idx="1">
                  <c:v>0.98181818181818192</c:v>
                </c:pt>
                <c:pt idx="2">
                  <c:v>0.9845454545454545</c:v>
                </c:pt>
              </c:numCache>
            </c:numRef>
          </c:val>
          <c:extLst>
            <c:ext xmlns:c16="http://schemas.microsoft.com/office/drawing/2014/chart" uri="{C3380CC4-5D6E-409C-BE32-E72D297353CC}">
              <c16:uniqueId val="{00000002-8689-44EB-909F-CE63C4AA4A82}"/>
            </c:ext>
          </c:extLst>
        </c:ser>
        <c:dLbls>
          <c:dLblPos val="outEnd"/>
          <c:showLegendKey val="0"/>
          <c:showVal val="1"/>
          <c:showCatName val="0"/>
          <c:showSerName val="0"/>
          <c:showPercent val="0"/>
          <c:showBubbleSize val="0"/>
        </c:dLbls>
        <c:gapWidth val="219"/>
        <c:overlap val="-27"/>
        <c:axId val="628557496"/>
        <c:axId val="628562536"/>
      </c:barChart>
      <c:catAx>
        <c:axId val="62855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62536"/>
        <c:crosses val="autoZero"/>
        <c:auto val="1"/>
        <c:lblAlgn val="ctr"/>
        <c:lblOffset val="100"/>
        <c:noMultiLvlLbl val="0"/>
      </c:catAx>
      <c:valAx>
        <c:axId val="62856253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57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workflow_improvement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Improvement!$D$13</c:f>
              <c:strCache>
                <c:ptCount val="1"/>
                <c:pt idx="0">
                  <c:v>PE Improvement over Basic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Improvement!$C$14:$C$16</c:f>
              <c:strCache>
                <c:ptCount val="3"/>
                <c:pt idx="0">
                  <c:v>Overall</c:v>
                </c:pt>
                <c:pt idx="1">
                  <c:v>Reasoning</c:v>
                </c:pt>
                <c:pt idx="2">
                  <c:v>Hard Tasks</c:v>
                </c:pt>
              </c:strCache>
            </c:strRef>
          </c:cat>
          <c:val>
            <c:numRef>
              <c:f>Improvement!$D$14:$D$16</c:f>
              <c:numCache>
                <c:formatCode>0.00%</c:formatCode>
                <c:ptCount val="3"/>
                <c:pt idx="0">
                  <c:v>3.1578947368421081E-2</c:v>
                </c:pt>
                <c:pt idx="1">
                  <c:v>9.9999999999999964E-2</c:v>
                </c:pt>
                <c:pt idx="2">
                  <c:v>9.3749999999999958E-2</c:v>
                </c:pt>
              </c:numCache>
            </c:numRef>
          </c:val>
          <c:extLst>
            <c:ext xmlns:c16="http://schemas.microsoft.com/office/drawing/2014/chart" uri="{C3380CC4-5D6E-409C-BE32-E72D297353CC}">
              <c16:uniqueId val="{00000000-64ED-47F4-8270-82F793497202}"/>
            </c:ext>
          </c:extLst>
        </c:ser>
        <c:ser>
          <c:idx val="1"/>
          <c:order val="1"/>
          <c:tx>
            <c:strRef>
              <c:f>Improvement!$E$13</c:f>
              <c:strCache>
                <c:ptCount val="1"/>
                <c:pt idx="0">
                  <c:v>PER Improvement over Basic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Improvement!$C$14:$C$16</c:f>
              <c:strCache>
                <c:ptCount val="3"/>
                <c:pt idx="0">
                  <c:v>Overall</c:v>
                </c:pt>
                <c:pt idx="1">
                  <c:v>Reasoning</c:v>
                </c:pt>
                <c:pt idx="2">
                  <c:v>Hard Tasks</c:v>
                </c:pt>
              </c:strCache>
            </c:strRef>
          </c:cat>
          <c:val>
            <c:numRef>
              <c:f>Improvement!$E$14:$E$16</c:f>
              <c:numCache>
                <c:formatCode>0.00%</c:formatCode>
                <c:ptCount val="3"/>
                <c:pt idx="0">
                  <c:v>3.8947368421052668E-2</c:v>
                </c:pt>
                <c:pt idx="1">
                  <c:v>0.11249999999999998</c:v>
                </c:pt>
                <c:pt idx="2">
                  <c:v>0.10156249999999996</c:v>
                </c:pt>
              </c:numCache>
            </c:numRef>
          </c:val>
          <c:extLst>
            <c:ext xmlns:c16="http://schemas.microsoft.com/office/drawing/2014/chart" uri="{C3380CC4-5D6E-409C-BE32-E72D297353CC}">
              <c16:uniqueId val="{00000001-64ED-47F4-8270-82F793497202}"/>
            </c:ext>
          </c:extLst>
        </c:ser>
        <c:dLbls>
          <c:dLblPos val="outEnd"/>
          <c:showLegendKey val="0"/>
          <c:showVal val="1"/>
          <c:showCatName val="0"/>
          <c:showSerName val="0"/>
          <c:showPercent val="0"/>
          <c:showBubbleSize val="0"/>
        </c:dLbls>
        <c:gapWidth val="219"/>
        <c:overlap val="-27"/>
        <c:axId val="908799560"/>
        <c:axId val="908798120"/>
      </c:barChart>
      <c:catAx>
        <c:axId val="90879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98120"/>
        <c:crosses val="autoZero"/>
        <c:auto val="1"/>
        <c:lblAlgn val="ctr"/>
        <c:lblOffset val="100"/>
        <c:noMultiLvlLbl val="0"/>
      </c:catAx>
      <c:valAx>
        <c:axId val="908798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99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556260</xdr:colOff>
      <xdr:row>1</xdr:row>
      <xdr:rowOff>140970</xdr:rowOff>
    </xdr:from>
    <xdr:to>
      <xdr:col>10</xdr:col>
      <xdr:colOff>182880</xdr:colOff>
      <xdr:row>16</xdr:row>
      <xdr:rowOff>140970</xdr:rowOff>
    </xdr:to>
    <xdr:graphicFrame macro="">
      <xdr:nvGraphicFramePr>
        <xdr:cNvPr id="2" name="Chart 1">
          <a:extLst>
            <a:ext uri="{FF2B5EF4-FFF2-40B4-BE49-F238E27FC236}">
              <a16:creationId xmlns:a16="http://schemas.microsoft.com/office/drawing/2014/main" id="{B8CD57F6-9C9D-5369-8907-1C8CE7A03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xdr:colOff>
      <xdr:row>27</xdr:row>
      <xdr:rowOff>160020</xdr:rowOff>
    </xdr:from>
    <xdr:to>
      <xdr:col>11</xdr:col>
      <xdr:colOff>106680</xdr:colOff>
      <xdr:row>50</xdr:row>
      <xdr:rowOff>68580</xdr:rowOff>
    </xdr:to>
    <xdr:graphicFrame macro="">
      <xdr:nvGraphicFramePr>
        <xdr:cNvPr id="3" name="Chart 2">
          <a:extLst>
            <a:ext uri="{FF2B5EF4-FFF2-40B4-BE49-F238E27FC236}">
              <a16:creationId xmlns:a16="http://schemas.microsoft.com/office/drawing/2014/main" id="{FB61C037-F148-7EA2-8387-5FEE10DEE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62</xdr:row>
      <xdr:rowOff>160020</xdr:rowOff>
    </xdr:from>
    <xdr:to>
      <xdr:col>10</xdr:col>
      <xdr:colOff>45720</xdr:colOff>
      <xdr:row>89</xdr:row>
      <xdr:rowOff>160020</xdr:rowOff>
    </xdr:to>
    <xdr:graphicFrame macro="">
      <xdr:nvGraphicFramePr>
        <xdr:cNvPr id="6" name="Chart 5">
          <a:extLst>
            <a:ext uri="{FF2B5EF4-FFF2-40B4-BE49-F238E27FC236}">
              <a16:creationId xmlns:a16="http://schemas.microsoft.com/office/drawing/2014/main" id="{FF0F62BE-1A86-2FC4-080B-F520845F9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754380</xdr:colOff>
      <xdr:row>0</xdr:row>
      <xdr:rowOff>26670</xdr:rowOff>
    </xdr:from>
    <xdr:to>
      <xdr:col>12</xdr:col>
      <xdr:colOff>205740</xdr:colOff>
      <xdr:row>12</xdr:row>
      <xdr:rowOff>38100</xdr:rowOff>
    </xdr:to>
    <xdr:graphicFrame macro="">
      <xdr:nvGraphicFramePr>
        <xdr:cNvPr id="2" name="Chart 1">
          <a:extLst>
            <a:ext uri="{FF2B5EF4-FFF2-40B4-BE49-F238E27FC236}">
              <a16:creationId xmlns:a16="http://schemas.microsoft.com/office/drawing/2014/main" id="{58B41C95-5AFE-945E-562D-BF3AECEE2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150158</xdr:colOff>
      <xdr:row>29</xdr:row>
      <xdr:rowOff>28014</xdr:rowOff>
    </xdr:from>
    <xdr:to>
      <xdr:col>15</xdr:col>
      <xdr:colOff>331695</xdr:colOff>
      <xdr:row>56</xdr:row>
      <xdr:rowOff>71717</xdr:rowOff>
    </xdr:to>
    <xdr:graphicFrame macro="">
      <xdr:nvGraphicFramePr>
        <xdr:cNvPr id="3" name="Chart 2">
          <a:extLst>
            <a:ext uri="{FF2B5EF4-FFF2-40B4-BE49-F238E27FC236}">
              <a16:creationId xmlns:a16="http://schemas.microsoft.com/office/drawing/2014/main" id="{0005BC10-5DE9-F3B3-2D79-C8FD48BAF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662940</xdr:colOff>
      <xdr:row>0</xdr:row>
      <xdr:rowOff>64770</xdr:rowOff>
    </xdr:from>
    <xdr:to>
      <xdr:col>11</xdr:col>
      <xdr:colOff>243840</xdr:colOff>
      <xdr:row>11</xdr:row>
      <xdr:rowOff>114300</xdr:rowOff>
    </xdr:to>
    <xdr:graphicFrame macro="">
      <xdr:nvGraphicFramePr>
        <xdr:cNvPr id="2" name="Chart 1">
          <a:extLst>
            <a:ext uri="{FF2B5EF4-FFF2-40B4-BE49-F238E27FC236}">
              <a16:creationId xmlns:a16="http://schemas.microsoft.com/office/drawing/2014/main" id="{3C268FEA-7214-470D-2AA2-1F5F32AAB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21</xdr:row>
      <xdr:rowOff>72390</xdr:rowOff>
    </xdr:from>
    <xdr:to>
      <xdr:col>12</xdr:col>
      <xdr:colOff>38100</xdr:colOff>
      <xdr:row>44</xdr:row>
      <xdr:rowOff>114300</xdr:rowOff>
    </xdr:to>
    <xdr:graphicFrame macro="">
      <xdr:nvGraphicFramePr>
        <xdr:cNvPr id="3" name="Chart 2">
          <a:extLst>
            <a:ext uri="{FF2B5EF4-FFF2-40B4-BE49-F238E27FC236}">
              <a16:creationId xmlns:a16="http://schemas.microsoft.com/office/drawing/2014/main" id="{089A7B2D-64C4-2297-EBB7-710E7F920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525780</xdr:colOff>
      <xdr:row>17</xdr:row>
      <xdr:rowOff>99060</xdr:rowOff>
    </xdr:from>
    <xdr:to>
      <xdr:col>6</xdr:col>
      <xdr:colOff>1493520</xdr:colOff>
      <xdr:row>36</xdr:row>
      <xdr:rowOff>15240</xdr:rowOff>
    </xdr:to>
    <xdr:graphicFrame macro="">
      <xdr:nvGraphicFramePr>
        <xdr:cNvPr id="2" name="Chart 1">
          <a:extLst>
            <a:ext uri="{FF2B5EF4-FFF2-40B4-BE49-F238E27FC236}">
              <a16:creationId xmlns:a16="http://schemas.microsoft.com/office/drawing/2014/main" id="{6FB93499-1E59-A181-F786-5EEE094E4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awia Ali" refreshedDate="46178.682355439814" createdVersion="8" refreshedVersion="8" minRefreshableVersion="3" recordCount="90" xr:uid="{E9C067FB-A8B7-48E4-8898-BA2CE98ECDA2}">
  <cacheSource type="worksheet">
    <worksheetSource name="main_001_90runs__2"/>
  </cacheSource>
  <cacheFields count="21">
    <cacheField name="run_id" numFmtId="0">
      <sharedItems containsSemiMixedTypes="0" containsString="0" containsNumber="1" containsInteger="1" minValue="1780574892946" maxValue="1780641179538"/>
    </cacheField>
    <cacheField name="experiment_id" numFmtId="0">
      <sharedItems/>
    </cacheField>
    <cacheField name="task_id" numFmtId="0">
      <sharedItems containsSemiMixedTypes="0" containsString="0" containsNumber="1" containsInteger="1" minValue="1" maxValue="1"/>
    </cacheField>
    <cacheField name="workflow_type" numFmtId="0">
      <sharedItems count="3">
        <s v="basic_agent"/>
        <s v="planner_executor"/>
        <s v="planner_executor_reviewer"/>
      </sharedItems>
    </cacheField>
    <cacheField name="timestamp" numFmtId="22">
      <sharedItems containsSemiMixedTypes="0" containsNonDate="0" containsDate="1" containsString="0" minDate="2026-06-04T15:08:13" maxDate="2026-06-05T09:33:00"/>
    </cacheField>
    <cacheField name="prompt" numFmtId="49">
      <sharedItems/>
    </cacheField>
    <cacheField name="output" numFmtId="0">
      <sharedItems longText="1"/>
    </cacheField>
    <cacheField name="answer" numFmtId="0">
      <sharedItems longText="1"/>
    </cacheField>
    <cacheField name="execution_summary" numFmtId="0">
      <sharedItems longText="1"/>
    </cacheField>
    <cacheField name="confidence" numFmtId="0">
      <sharedItems containsSemiMixedTypes="0" containsString="0" containsNumber="1" minValue="0" maxValue="1" count="5">
        <n v="0.95"/>
        <n v="0.98"/>
        <n v="1"/>
        <n v="0"/>
        <n v="0.9"/>
      </sharedItems>
    </cacheField>
    <cacheField name="quality_score" numFmtId="0">
      <sharedItems containsString="0" containsBlank="1" containsNumber="1" minValue="0.4" maxValue="1"/>
    </cacheField>
    <cacheField name="score" numFmtId="0">
      <sharedItems containsSemiMixedTypes="0" containsString="0" containsNumber="1" containsInteger="1" minValue="0" maxValue="0"/>
    </cacheField>
    <cacheField name="duration_sec" numFmtId="0">
      <sharedItems containsSemiMixedTypes="0" containsString="0" containsNumber="1" containsInteger="1" minValue="0" maxValue="0"/>
    </cacheField>
    <cacheField name="token_estimate" numFmtId="0">
      <sharedItems containsSemiMixedTypes="0" containsString="0" containsNumber="1" containsInteger="1" minValue="0" maxValue="0"/>
    </cacheField>
    <cacheField name="success" numFmtId="0">
      <sharedItems/>
    </cacheField>
    <cacheField name="notes" numFmtId="0">
      <sharedItems/>
    </cacheField>
    <cacheField name="reviewer_version" numFmtId="0">
      <sharedItems/>
    </cacheField>
    <cacheField name="real_task_id" numFmtId="0">
      <sharedItems containsSemiMixedTypes="0" containsString="0" containsNumber="1" containsInteger="1" minValue="1" maxValue="30"/>
    </cacheField>
    <cacheField name="category" numFmtId="0">
      <sharedItems/>
    </cacheField>
    <cacheField name="difficulty" numFmtId="0">
      <sharedItems/>
    </cacheField>
    <cacheField name="expected_outpu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awia Ali" refreshedDate="46178.709740625003" createdVersion="8" refreshedVersion="8" minRefreshableVersion="3" recordCount="88" xr:uid="{E6AC627B-1246-4B83-B5D6-D94CE30BA511}">
  <cacheSource type="worksheet">
    <worksheetSource ref="A1:U89" sheet="main_001_analysis_dataset"/>
  </cacheSource>
  <cacheFields count="21">
    <cacheField name="run_id" numFmtId="0">
      <sharedItems containsSemiMixedTypes="0" containsString="0" containsNumber="1" containsInteger="1" minValue="1780574892946" maxValue="1780641143921"/>
    </cacheField>
    <cacheField name="experiment_id" numFmtId="0">
      <sharedItems/>
    </cacheField>
    <cacheField name="task_id" numFmtId="0">
      <sharedItems containsSemiMixedTypes="0" containsString="0" containsNumber="1" containsInteger="1" minValue="1" maxValue="1"/>
    </cacheField>
    <cacheField name="workflow_type" numFmtId="0">
      <sharedItems count="3">
        <s v="basic_agent"/>
        <s v="planner_executor"/>
        <s v="planner_executor_reviewer"/>
      </sharedItems>
    </cacheField>
    <cacheField name="timestamp" numFmtId="22">
      <sharedItems containsSemiMixedTypes="0" containsNonDate="0" containsDate="1" containsString="0" minDate="2026-06-04T15:08:13" maxDate="2026-06-05T09:32:24"/>
    </cacheField>
    <cacheField name="prompt" numFmtId="49">
      <sharedItems/>
    </cacheField>
    <cacheField name="output" numFmtId="0">
      <sharedItems longText="1"/>
    </cacheField>
    <cacheField name="answer" numFmtId="0">
      <sharedItems longText="1"/>
    </cacheField>
    <cacheField name="execution_summary" numFmtId="0">
      <sharedItems longText="1"/>
    </cacheField>
    <cacheField name="confidence" numFmtId="0">
      <sharedItems containsSemiMixedTypes="0" containsString="0" containsNumber="1" minValue="0" maxValue="1"/>
    </cacheField>
    <cacheField name="quality_score" numFmtId="0">
      <sharedItems containsString="0" containsBlank="1" containsNumber="1" minValue="0.4" maxValue="1"/>
    </cacheField>
    <cacheField name="score" numFmtId="0">
      <sharedItems containsSemiMixedTypes="0" containsString="0" containsNumber="1" containsInteger="1" minValue="0" maxValue="0"/>
    </cacheField>
    <cacheField name="duration_sec" numFmtId="0">
      <sharedItems containsSemiMixedTypes="0" containsString="0" containsNumber="1" containsInteger="1" minValue="0" maxValue="0"/>
    </cacheField>
    <cacheField name="token_estimate" numFmtId="0">
      <sharedItems containsSemiMixedTypes="0" containsString="0" containsNumber="1" containsInteger="1" minValue="0" maxValue="0"/>
    </cacheField>
    <cacheField name="success" numFmtId="0">
      <sharedItems/>
    </cacheField>
    <cacheField name="notes" numFmtId="0">
      <sharedItems/>
    </cacheField>
    <cacheField name="reviewer_version" numFmtId="0">
      <sharedItems/>
    </cacheField>
    <cacheField name="real_task_id" numFmtId="0">
      <sharedItems containsSemiMixedTypes="0" containsString="0" containsNumber="1" containsInteger="1" minValue="1" maxValue="30"/>
    </cacheField>
    <cacheField name="category" numFmtId="0">
      <sharedItems count="3">
        <s v="Knowledge"/>
        <s v="Reasoning"/>
        <s v="Coding"/>
      </sharedItems>
    </cacheField>
    <cacheField name="difficulty" numFmtId="0">
      <sharedItems count="3">
        <s v="easy"/>
        <s v="medium"/>
        <s v="hard"/>
      </sharedItems>
    </cacheField>
    <cacheField name="expected_outpu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n v="1780574892946"/>
    <s v="main_001"/>
    <n v="1"/>
    <x v="0"/>
    <d v="2026-06-04T15:08:13"/>
    <s v="Compare OpenAI Gemini and Claude for enterprise workflow automation"/>
    <s v="{_x000a_  &quot;task_id&quot;: &quot;1&quot;,_x000a_  &quot;answer&quot;: &quo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quot;,_x000a_  &quot;execution_summary&quot;: &quo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quot;,_x000a_  &quot;confidence&quot;: 0.95_x000a_}"/>
    <s v="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s v="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x v="0"/>
    <m/>
    <n v="0"/>
    <n v="0"/>
    <n v="0"/>
    <b v="1"/>
    <s v="main_001_basic_agent"/>
    <s v=""/>
    <n v="1"/>
    <s v="Knowledge"/>
    <s v="easy"/>
    <s v="Structured comparison"/>
  </r>
  <r>
    <n v="1780574903737"/>
    <s v="main_001"/>
    <n v="1"/>
    <x v="1"/>
    <d v="2026-06-04T15:08:24"/>
    <s v="Compare OpenAI Gemini and Claude for enterprise workflow automation"/>
    <s v="{_x000a_  &quot;task_id&quot;: &quot;1&quot;,_x000a_  &quot;answer&quot;: &quo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quot;,_x000a_  &quot;execution_summary&quot;: &quo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quot;,_x000a_  &quot;confidence&quot;: 0.95_x000a_}"/>
    <s v="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s v="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x v="0"/>
    <m/>
    <n v="0"/>
    <n v="0"/>
    <n v="0"/>
    <b v="1"/>
    <s v="main_001_planner_executor"/>
    <s v=""/>
    <n v="1"/>
    <s v="Knowledge"/>
    <s v="easy"/>
    <s v="Structured comparison"/>
  </r>
  <r>
    <n v="1780574915175"/>
    <s v="main_001"/>
    <n v="1"/>
    <x v="2"/>
    <d v="2026-06-04T15:08:35"/>
    <s v="Compare OpenAI Gemini and Claude for enterprise workflow automation"/>
    <s v="{_x000a_  &quot;task_id&quot;: &quot;1&quot;,_x000a_  &quot;quality_score&quot;: 0.95,_x000a_  &quot;review_notes&quot;: &quo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quot;,_x000a_  &quot;final_answer&quot;: &quo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quot;,_x000a_  &quot;confidence&quot;: 0.98_x000a_}"/>
    <s v="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s v="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x v="1"/>
    <n v="0.95"/>
    <n v="0"/>
    <n v="0"/>
    <n v="0"/>
    <b v="1"/>
    <s v="main_001_planner_executor_reviewer"/>
    <s v="strict_v1"/>
    <n v="1"/>
    <s v="Knowledge"/>
    <s v="easy"/>
    <s v="Structured comparison"/>
  </r>
  <r>
    <n v="1780575855817"/>
    <s v="main_001"/>
    <n v="1"/>
    <x v="0"/>
    <d v="2026-06-04T15:24:16"/>
    <s v="Explain the difference between TCP and UDP_x000a_"/>
    <s v="{_x000a_  &quot;task_id&quot;: &quot;1&quot;,_x000a_  &quot;answer&quot;: &quo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quot;,_x000a_  &quot;execution_summary&quot;: &quot;Provided a concise comparison highlighting the key differences in reliability, connection status, and typical use cases between TCP and UDP.&quot;,_x000a_  &quot;confidence&quot;: 1.0_x000a_}"/>
    <s v="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s v="Provided a concise comparison highlighting the key differences in reliability, connection status, and typical use cases between TCP and UDP."/>
    <x v="2"/>
    <m/>
    <n v="0"/>
    <n v="0"/>
    <n v="0"/>
    <b v="1"/>
    <s v="main_001_basic_agent"/>
    <s v=""/>
    <n v="2"/>
    <s v="Knowledge"/>
    <s v="easy"/>
    <s v="Technical explanation"/>
  </r>
  <r>
    <n v="1780575867997"/>
    <s v="main_001"/>
    <n v="1"/>
    <x v="1"/>
    <d v="2026-06-04T15:24:28"/>
    <s v="Explain the difference between TCP and UDP_x000a_"/>
    <s v="{_x000a_  &quot;task_id&quot;: &quot;1&quot;,_x000a_  &quot;answer&quot;: &quo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quot;,_x000a_  &quot;execution_summary&quot;: &quot;I have defined both protocols, compared them based on reliability, order, speed, and overhead, identified common use cases, and summarized the trade-offs regarding network requirements.&quot;,_x000a_  &quot;confidence&quot;: 1.0_x000a_}"/>
    <s v="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s v="I have defined both protocols, compared them based on reliability, order, speed, and overhead, identified common use cases, and summarized the trade-offs regarding network requirements."/>
    <x v="2"/>
    <m/>
    <n v="0"/>
    <n v="0"/>
    <n v="0"/>
    <b v="1"/>
    <s v="main_001_planner_executor"/>
    <s v=""/>
    <n v="2"/>
    <s v="Knowledge"/>
    <s v="easy"/>
    <s v="Technical explanation"/>
  </r>
  <r>
    <n v="1780575879320"/>
    <s v="main_001"/>
    <n v="1"/>
    <x v="2"/>
    <d v="2026-06-04T15:24:39"/>
    <s v="Explain the difference between TCP and UDP_x000a_"/>
    <s v="{_x000a_  &quot;task_id&quot;: &quot;1&quot;,_x000a_  &quot;quality_score&quot;: 1.0,_x000a_  &quot;review_notes&quot;: &quo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quot;,_x000a_  &quot;final_answer&quot;: &quo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quot;,_x000a_  &quot;confidence&quot;: 1.0_x000a_}"/>
    <s v="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s v="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x v="2"/>
    <n v="1"/>
    <n v="0"/>
    <n v="0"/>
    <n v="0"/>
    <b v="1"/>
    <s v="main_001_planner_executor_reviewer"/>
    <s v="strict_v1"/>
    <n v="2"/>
    <s v="Knowledge"/>
    <s v="easy"/>
    <s v="Technical explanation"/>
  </r>
  <r>
    <n v="1780576994343"/>
    <s v="main_001"/>
    <n v="1"/>
    <x v="0"/>
    <d v="2026-06-04T15:43:14"/>
    <s v="Compare REST APIs and GraphQL APIs_x000a_"/>
    <s v="{_x000a_  &quot;task_id&quot;: &quot;1&quot;,_x000a_  &quot;answer&quot;: &quo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quot;,_x000a_  &quot;execution_summary&quot;: &quot;Compared REST and GraphQL based on architecture, data fetching efficiency, and schema definition.&quot;,_x000a_  &quot;confidence&quot;: 1.0_x000a_}"/>
    <s v="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s v="Compared REST and GraphQL based on architecture, data fetching efficiency, and schema definition."/>
    <x v="2"/>
    <m/>
    <n v="0"/>
    <n v="0"/>
    <n v="0"/>
    <b v="1"/>
    <s v="main_001_basic_agent"/>
    <s v=""/>
    <n v="3"/>
    <s v="Knowledge"/>
    <s v="easy"/>
    <s v="Comparison report"/>
  </r>
  <r>
    <n v="1780577003965"/>
    <s v="main_001"/>
    <n v="1"/>
    <x v="1"/>
    <d v="2026-06-04T15:43:24"/>
    <s v="Compare REST APIs and GraphQL APIs_x000a_"/>
    <s v="{_x000a_  &quot;task_id&quot;: &quot;1&quot;,_x000a_  &quot;answer&quot;: &quo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quot;,_x000a_  &quot;execution_summary&quot;: &quot;Executed all steps: defined architectures for both APIs, compared key operational metrics, summarized pros/cons, and provided a practical selection framework.&quot;,_x000a_  &quot;confidence&quot;: 1.0_x000a_}"/>
    <s v="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_x000a__x000a_Key differences include:_x000a_- Data Fetching: REST often suffers from over-fetching (getting more data than needed) or under-fetching (requiring multiple requests), while GraphQL solves this with precise data selection._x000a_- Versioning: REST typically uses URI versioning (v1/v2), whereas GraphQL promotes schema evolution with deprecated fields._x000a_- Performance: REST benefits from standard HTTP caching mechanisms. GraphQL requires more complex caching strategies due to its single-endpoint POST nature._x000a__x000a_Pros/Cons:_x000a_- REST Pros: Simple to implement, mature tooling, excellent cacheability. Cons: Inflexible payloads, potential request chaining._x000a_- GraphQL Pros: High flexibility, strong typing, reduces network traffic. Cons: Complexity in server setup, caching difficulty, potential for malicious deep queries._x000a__x000a_Decision Framework:_x000a_- Use REST if: You need simple, resource-oriented APIs, rely heavily on HTTP caching, or are building public APIs with low complexity._x000a_- Use GraphQL if: You have complex data graphs with relationships, operate in bandwidth-constrained environments (mobile), or need to aggregate data from multiple microservices into one interface."/>
    <s v="Executed all steps: defined architectures for both APIs, compared key operational metrics, summarized pros/cons, and provided a practical selection framework."/>
    <x v="2"/>
    <m/>
    <n v="0"/>
    <n v="0"/>
    <n v="0"/>
    <b v="1"/>
    <s v="main_001_planner_executor"/>
    <s v=""/>
    <n v="3"/>
    <s v="Knowledge"/>
    <s v="easy"/>
    <s v="Comparison report"/>
  </r>
  <r>
    <n v="1780577017923"/>
    <s v="main_001"/>
    <n v="1"/>
    <x v="2"/>
    <d v="2026-06-04T15:43:38"/>
    <s v="Compare REST APIs and GraphQL APIs_x000a_"/>
    <s v="{_x000a_  &quot;task_id&quot;: &quot;1&quot;,_x000a_  &quot;quality_score&quot;: 0.95,_x000a_  &quot;review_notes&quot;: &quo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quot;,_x000a_  &quot;final_answer&quot;: &quot;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quot;,_x000a_  &quot;confidence&quot;: 1.0_x000a_}"/>
    <s v="REST and GraphQL represent fundamentally different approaches to API design: _x000a__x000a_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_x000a__x000a_2. Data Fetching: REST often suffers from over-fetching (getting more data than needed) or under-fetching (requiring multiple round trips), whereas GraphQL allows clients to define the shape of the response, enabling precise data retrieval in a single request._x000a__x000a_3. Versioning/Schema: REST versioning is typically handled via URI paths (e.g., /v1/) or headers, which can lead to maintenance overhead. GraphQL uses a strongly typed schema; fields can be deprecated rather than versioned, providing a smoother evolution path._x000a__x000a_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_x000a__x000a_5. Use Cases: REST is ideal for public APIs where standard HTTP caching is critical and simple resource manipulation is required. GraphQL is ideal for complex, interconnected data models, mobile applications with bandwidth constraints, and fast-paced frontend development."/>
    <s v="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x v="2"/>
    <n v="0.95"/>
    <n v="0"/>
    <n v="0"/>
    <n v="0"/>
    <b v="1"/>
    <s v="main_001_planner_executor_reviewer"/>
    <s v="strict_v1"/>
    <n v="3"/>
    <s v="Knowledge"/>
    <s v="easy"/>
    <s v="Comparison report"/>
  </r>
  <r>
    <n v="1780578566594"/>
    <s v="main_001"/>
    <n v="1"/>
    <x v="0"/>
    <d v="2026-06-04T16:09:27"/>
    <s v="Summarize recent trends in agentic AI automation_x000a_"/>
    <s v="{_x000a_  &quot;task_id&quot;: &quot;1&quot;,_x000a_  &quot;answer&quot;: &quo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quot;,_x000a_  &quot;execution_summary&quot;: &quot;Synthesized market trends regarding agentic workflows, multi-step reasoning, and architectural shifts toward domain-specific autonomy.&quot;,_x000a_  &quot;confidence&quot;: 0.95_x000a_}"/>
    <s v="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s v="Synthesized market trends regarding agentic workflows, multi-step reasoning, and architectural shifts toward domain-specific autonomy."/>
    <x v="0"/>
    <m/>
    <n v="0"/>
    <n v="0"/>
    <n v="0"/>
    <b v="1"/>
    <s v="main_001_basic_agent"/>
    <s v=""/>
    <n v="4"/>
    <s v="Knowledge"/>
    <s v="medium"/>
    <s v="Executive summary"/>
  </r>
  <r>
    <n v="1780578577218"/>
    <s v="main_001"/>
    <n v="1"/>
    <x v="1"/>
    <d v="2026-06-04T16:09:37"/>
    <s v="Summarize recent trends in agentic AI automation_x000a_"/>
    <s v="{_x000a_  &quot;task_id&quot;: &quot;1&quot;,_x000a_  &quot;answer&quot;: &quo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quot;,_x000a_  &quot;execution_summary&quot;: &quo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quot;,_x000a_  &quot;confidence&quot;: 0.95_x000a_}"/>
    <s v="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s v="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x v="0"/>
    <m/>
    <n v="0"/>
    <n v="0"/>
    <n v="0"/>
    <b v="1"/>
    <s v="main_001_planner_executor"/>
    <s v=""/>
    <n v="4"/>
    <s v="Knowledge"/>
    <s v="medium"/>
    <s v="Executive summary"/>
  </r>
  <r>
    <n v="1780578589961"/>
    <s v="main_001"/>
    <n v="1"/>
    <x v="2"/>
    <d v="2026-06-04T16:09:50"/>
    <s v="Summarize recent trends in agentic AI automation_x000a_"/>
    <s v="{_x000a_  &quot;task_id&quot;: &quot;1&quot;,_x000a_  &quot;quality_score&quot;: 0.95,_x000a_  &quot;review_notes&quot;: &quo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quot;,_x000a_  &quot;final_answer&quot;: &quo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quot;,_x000a_  &quot;confidence&quot;: 1.0_x000a_}"/>
    <s v="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s v="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x v="2"/>
    <n v="0.95"/>
    <n v="0"/>
    <n v="0"/>
    <n v="0"/>
    <b v="1"/>
    <s v="main_001_planner_executor_reviewer"/>
    <s v="strict_v1"/>
    <n v="4"/>
    <s v="Knowledge"/>
    <s v="medium"/>
    <s v="Executive summary"/>
  </r>
  <r>
    <n v="1780578618719"/>
    <s v="main_001"/>
    <n v="1"/>
    <x v="0"/>
    <d v="2026-06-04T16:10:19"/>
    <s v="Identify risks of using LLM agents in business processes_x000a_"/>
    <s v="{_x000a_  &quot;task_id&quot;: &quot;1&quot;,_x000a_  &quot;answer&quot;: &quo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quot;,_x000a_  &quot;execution_summary&quot;: &quot;Identified primary categories of risk associated with deploying LLM agents in enterprise environments.&quot;,_x000a_  &quot;confidence&quot;: 1.0_x000a_}"/>
    <s v="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s v="Identified primary categories of risk associated with deploying LLM agents in enterprise environments."/>
    <x v="2"/>
    <m/>
    <n v="0"/>
    <n v="0"/>
    <n v="0"/>
    <b v="1"/>
    <s v="main_001_basic_agent"/>
    <s v=""/>
    <n v="5"/>
    <s v="Knowledge"/>
    <s v="medium"/>
    <s v="Risk assessment"/>
  </r>
  <r>
    <n v="1780578629992"/>
    <s v="main_001"/>
    <n v="1"/>
    <x v="1"/>
    <d v="2026-06-04T16:10:30"/>
    <s v="Identify risks of using LLM agents in business processes_x000a_"/>
    <s v="{_x000a_  &quot;task_id&quot;: &quot;1&quot;,_x000a_  &quot;answer&quot;: &quo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quot;,_x000a_  &quot;execution_summary&quot;: &quo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quot;,_x000a_  &quot;confidence&quot;: 1.0_x000a_}"/>
    <s v="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s v="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x v="2"/>
    <m/>
    <n v="0"/>
    <n v="0"/>
    <n v="0"/>
    <b v="1"/>
    <s v="main_001_planner_executor"/>
    <s v=""/>
    <n v="5"/>
    <s v="Knowledge"/>
    <s v="medium"/>
    <s v="Risk assessment"/>
  </r>
  <r>
    <n v="1780578642455"/>
    <s v="main_001"/>
    <n v="1"/>
    <x v="2"/>
    <d v="2026-06-04T16:10:42"/>
    <s v="Identify risks of using LLM agents in business processes_x000a_"/>
    <s v="{_x000a_  &quot;task_id&quot;: &quot;1&quot;,_x000a_  &quot;quality_score&quot;: 0.95,_x000a_  &quot;review_notes&quot;: &quo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quot;,_x000a_  &quot;final_answer&quot;: &quo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quot;,_x000a_  &quot;confidence&quot;: 1.0_x000a_}"/>
    <s v="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s v="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x v="2"/>
    <n v="0.95"/>
    <n v="0"/>
    <n v="0"/>
    <n v="0"/>
    <b v="1"/>
    <s v="main_001_planner_executor_reviewer"/>
    <s v="strict_v1"/>
    <n v="5"/>
    <s v="Knowledge"/>
    <s v="medium"/>
    <s v="Risk assessment"/>
  </r>
  <r>
    <n v="1780592134171"/>
    <s v="main_001"/>
    <n v="1"/>
    <x v="0"/>
    <d v="2026-06-04T19:55:34"/>
    <s v="Compare vector databases and relational databases_x000a_"/>
    <s v="{_x000a_  &quot;task_id&quot;: &quot;1&quot;,_x000a_  &quot;answer&quot;: &quo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quot;,_x000a_  &quot;execution_summary&quot;: &quot;Compared data structures, query paradigms, and primary use cases for both database types.&quot;,_x000a_  &quot;confidence&quot;: 1.0_x000a_}"/>
    <s v="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s v="Compared data structures, query paradigms, and primary use cases for both database types."/>
    <x v="2"/>
    <m/>
    <n v="0"/>
    <n v="0"/>
    <n v="0"/>
    <b v="1"/>
    <s v="main_001_basic_agent"/>
    <s v=""/>
    <n v="6"/>
    <s v="Knowledge"/>
    <s v="medium"/>
    <s v="Structured comparison"/>
  </r>
  <r>
    <n v="1780592144663"/>
    <s v="main_001"/>
    <n v="1"/>
    <x v="1"/>
    <d v="2026-06-04T19:55:45"/>
    <s v="Compare vector databases and relational databases_x000a_"/>
    <s v="{_x000a_  &quot;task_id&quot;: &quot;1&quot;,_x000a_  &quot;answer&quot;: &quo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quot;,_x000a_  &quot;execution_summary&quot;: &quo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quot;,_x000a_  &quot;confidence&quot;: 1.0_x000a_}"/>
    <s v="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s v="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x v="2"/>
    <m/>
    <n v="0"/>
    <n v="0"/>
    <n v="0"/>
    <b v="1"/>
    <s v="main_001_planner_executor"/>
    <s v=""/>
    <n v="6"/>
    <s v="Knowledge"/>
    <s v="medium"/>
    <s v="Structured comparison"/>
  </r>
  <r>
    <n v="1780592161109"/>
    <s v="main_001"/>
    <n v="1"/>
    <x v="2"/>
    <d v="2026-06-04T19:56:01"/>
    <s v="Compare vector databases and relational databases_x000a_"/>
    <s v="{_x000a_  &quot;task_id&quot;: &quot;1&quot;,_x000a_  &quot;quality_score&quot;: 0.98,_x000a_  &quot;review_notes&quot;: &quo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quot;,_x000a_  &quot;final_answer&quot;: &quot;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quot;,_x000a_  &quot;confidence&quot;: 1.0_x000a_}"/>
    <s v="Relational Databases (RDBMS) and Vector Databases represent two distinct paradigms for data management, optimized for different data types and retrieval goals._x000a__x000a_### 1. Core Architecture and Use Cases_x000a_- **RDBMS:** Built on the relational model (tables/rows/columns) with a focus on transactional integrity. They are designed for structured data where precision is paramount, such as financial transactions, inventory management, and CRUD applications._x000a_-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_x000a__x000a_### 2. Data Structure and Query Methods_x000a_- **Structure:** RDBMS handle structured, highly normalized data. Vector databases handle unstructured data represented as dense numerical vectors._x000a_- **Queries:** RDBMS rely on SQL (Structured Query Language) for exact filtering and relational joins. Vector databases use Approximate Nearest Neighbor (ANN) search to find data points based on semantic proximity (cosine similarity, Euclidean distance) rather than exact matches._x000a__x000a_### 3. Performance Trade-offs_x000a_- **Indexing:** RDBMS use B-trees or hash indexes for fast exact lookups. Vector databases utilize ANN algorithms like HNSW (Hierarchical Navigable Small World) or IVF (Inverted File Index) to balance search speed with recall accuracy._x000a_- **Compliance:** RDBMS prioritize ACID (Atomicity, Consistency, Isolation, Durability) properties. Vector databases often favor eventual consistency and high-throughput retrieval, as many AI applications prioritize speed and semantic relevance over immediate write consistency._x000a__x000a_### 4. Hybrid Approaches_x000a_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_x000a__x000a_### 5. Summary Table_x000a_| Feature | Relational Database (RDBMS) | Vector Database |_x000a_| :--- | :--- | :--- |_x000a_| **Data Type** | Structured | Unstructured (Embeddings) |_x000a_| **Search Logic** | Exact/Predicate Matching | Semantic/Similarity Search |_x000a_| **Primary Index** | B-trees | ANN (HNSW, IVF) |_x000a_| **Consistency** | Strong (ACID) | Often Eventual |_x000a_| **Best For** | Transactions, Auditing | LLMs, Recommendations, AI |"/>
    <s v="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x v="2"/>
    <n v="0.98"/>
    <n v="0"/>
    <n v="0"/>
    <n v="0"/>
    <b v="1"/>
    <s v="main_001_planner_executor_reviewer"/>
    <s v="strict_v1"/>
    <n v="6"/>
    <s v="Knowledge"/>
    <s v="medium"/>
    <s v="Structured comparison"/>
  </r>
  <r>
    <n v="1780592416686"/>
    <s v="main_001"/>
    <n v="1"/>
    <x v="0"/>
    <d v="2026-06-04T20:00:17"/>
    <s v="Explain how memory improves long-running AI agents_x000a_"/>
    <s v="{_x000a_  &quot;task_id&quot;: &quot;1&quot;,_x000a_  &quot;answer&quot;: &quo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quot;,_x000a_  &quot;execution_summary&quot;: &quot;Defined the mechanics of memory in AI, specifically highlighting the transition from stateless processing to stateful, long-term context retention.&quot;,_x000a_  &quot;confidence&quot;: 1.0_x000a_}"/>
    <s v="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s v="Defined the mechanics of memory in AI, specifically highlighting the transition from stateless processing to stateful, long-term context retention."/>
    <x v="2"/>
    <m/>
    <n v="0"/>
    <n v="0"/>
    <n v="0"/>
    <b v="1"/>
    <s v="main_001_basic_agent"/>
    <s v=""/>
    <n v="7"/>
    <s v="Knowledge"/>
    <s v="medium"/>
    <s v="Technical explanation"/>
  </r>
  <r>
    <n v="1780592437302"/>
    <s v="main_001"/>
    <n v="1"/>
    <x v="1"/>
    <d v="2026-06-04T20:00:37"/>
    <s v="Explain how memory improves long-running AI agents_x000a_"/>
    <s v="{_x000a_  &quot;task_id&quot;: &quot;1&quot;,_x000a_  &quot;answer&quot;: &quo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quot;,_x000a_  &quot;execution_summary&quot;: &quot;The objective was met by defining the technical progression from ephemeral context windows to persistent storage, detailing architectural components, and evaluating the utility and trade-offs of long-term memory in agent systems.&quot;,_x000a_  &quot;confidence&quot;: 1.0_x000a_}"/>
    <s v="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s v="The objective was met by defining the technical progression from ephemeral context windows to persistent storage, detailing architectural components, and evaluating the utility and trade-offs of long-term memory in agent systems."/>
    <x v="2"/>
    <m/>
    <n v="0"/>
    <n v="0"/>
    <n v="0"/>
    <b v="1"/>
    <s v="main_001_planner_executor"/>
    <s v=""/>
    <n v="7"/>
    <s v="Knowledge"/>
    <s v="medium"/>
    <s v="Technical explanation"/>
  </r>
  <r>
    <n v="1780592453508"/>
    <s v="main_001"/>
    <n v="1"/>
    <x v="2"/>
    <d v="2026-06-04T20:00:54"/>
    <s v="Explain how memory improves long-running AI agents_x000a_"/>
    <s v="{_x000a_  &quot;task_id&quot;: &quot;1&quot;,_x000a_  &quot;quality_score&quot;: 0.95,_x000a_  &quot;review_notes&quot;: &quo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quot;,_x000a_  &quot;final_answer&quot;: &quo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quot;,_x000a_  &quot;confidence&quot;: 1.0_x000a_}"/>
    <s v="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s v="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x v="2"/>
    <n v="0.95"/>
    <n v="0"/>
    <n v="0"/>
    <n v="0"/>
    <b v="1"/>
    <s v="main_001_planner_executor_reviewer"/>
    <s v="strict_v1"/>
    <n v="7"/>
    <s v="Knowledge"/>
    <s v="medium"/>
    <s v="Technical explanation"/>
  </r>
  <r>
    <n v="1780592534321"/>
    <s v="main_001"/>
    <n v="1"/>
    <x v="1"/>
    <d v="2026-06-04T20:02:14"/>
    <s v="Identify evaluation metrics for AI agent systems_x000a_"/>
    <s v="{_x000a_  &quot;task_id&quot;: &quot;1&quot;,_x000a_  &quot;answer&quot;: &quo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quot;,_x000a_  &quot;execution_summary&quot;: &quo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quot;,_x000a_  &quot;confidence&quot;: 1.0_x000a_}"/>
    <s v="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s v="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x v="2"/>
    <m/>
    <n v="0"/>
    <n v="0"/>
    <n v="0"/>
    <b v="1"/>
    <s v="main_001_planner_executor"/>
    <s v=""/>
    <n v="8"/>
    <s v="Knowledge"/>
    <s v="hard"/>
    <s v="Metric framework"/>
  </r>
  <r>
    <n v="1780594284298"/>
    <s v="main_001"/>
    <n v="1"/>
    <x v="0"/>
    <d v="2026-06-04T20:31:24"/>
    <s v="Identify evaluation metrics for AI agent systems_x000a_"/>
    <s v="{_x000a_  &quot;task_id&quot;: &quot;1&quot;,_x000a_  &quot;answer&quot;: &quot;Evaluation metrics for AI agents typically include Task Completion Rate, Success Rate, Average Path Length/Step Count, Latency (time-to-first-token/total time), Cost per Task, Hallucination Rate, Goal Accuracy, Tool Use Precision, and Human-in-the-loop ratings (CSAT/alignment scores).&quot;,_x000a_  &quot;execution_summary&quot;: &quot;Categorized metrics into performance efficiency, effectiveness/accuracy, and reliability/safety, ensuring a comprehensive framework for agent evaluation.&quot;,_x000a_  &quot;confidence&quot;: 0.95_x000a_}"/>
    <s v="Evaluation metrics for AI agents typically include Task Completion Rate, Success Rate, Average Path Length/Step Count, Latency (time-to-first-token/total time), Cost per Task, Hallucination Rate, Goal Accuracy, Tool Use Precision, and Human-in-the-loop ratings (CSAT/alignment scores)."/>
    <s v="Categorized metrics into performance efficiency, effectiveness/accuracy, and reliability/safety, ensuring a comprehensive framework for agent evaluation."/>
    <x v="0"/>
    <m/>
    <n v="0"/>
    <n v="0"/>
    <n v="0"/>
    <b v="1"/>
    <s v="main_001_basic_agent"/>
    <s v=""/>
    <n v="8"/>
    <s v="Knowledge"/>
    <s v="hard"/>
    <s v="Metric framework"/>
  </r>
  <r>
    <n v="1780592545486"/>
    <s v="main_001"/>
    <n v="1"/>
    <x v="2"/>
    <d v="2026-06-04T20:02:25"/>
    <s v="Identify evaluation metrics for AI agent systems_x000a_"/>
    <s v="{_x000a_  &quot;task_id&quot;: &quot;1&quot;,_x000a_  &quot;quality_score&quot;: 0.95,_x000a_  &quot;review_notes&quot;: &quo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quot;,_x000a_  &quot;final_answer&quot;: &quo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quot;,_x000a_  &quot;confidence&quot;: 1.0_x000a_}"/>
    <s v="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s v="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x v="2"/>
    <n v="0.95"/>
    <n v="0"/>
    <n v="0"/>
    <n v="0"/>
    <b v="1"/>
    <s v="main_001_planner_executor_reviewer"/>
    <s v="strict_v1"/>
    <n v="8"/>
    <s v="Knowledge"/>
    <s v="hard"/>
    <s v="Metric framework"/>
  </r>
  <r>
    <n v="1780592630484"/>
    <s v="main_001"/>
    <n v="1"/>
    <x v="0"/>
    <d v="2026-06-04T20:03:50"/>
    <s v="Analyze limitations of current autonomous AI agents_x000a_"/>
    <s v="{_x000a_  &quot;task_id&quot;: &quot;1&quot;,_x000a_  &quot;answer&quot;: &quo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quot;,_x000a_  &quot;execution_summary&quot;: &quot;Analyzed current state-of-the-art autonomous agents, identifying systemic bottlenecks in long-horizon planning, robustness, and interpretability.&quot;,_x000a_  &quot;confidence&quot;: 0.95_x000a_}"/>
    <s v="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s v="Analyzed current state-of-the-art autonomous agents, identifying systemic bottlenecks in long-horizon planning, robustness, and interpretability."/>
    <x v="0"/>
    <m/>
    <n v="0"/>
    <n v="0"/>
    <n v="0"/>
    <b v="1"/>
    <s v="main_001_basic_agent"/>
    <s v=""/>
    <n v="9"/>
    <s v="Knowledge"/>
    <s v="hard"/>
    <s v="Analytical report"/>
  </r>
  <r>
    <n v="1780592643747"/>
    <s v="main_001"/>
    <n v="1"/>
    <x v="1"/>
    <d v="2026-06-04T20:04:04"/>
    <s v="Analyze limitations of current autonomous AI agents_x000a_"/>
    <s v="{_x000a_  &quot;task_id&quot;: &quot;1&quot;,_x000a_  &quot;answer&quot;: &quo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quot;,_x000a_  &quot;execution_summary&quot;: &quo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quot;,_x000a_  &quot;confidence&quot;: 0.95_x000a_}"/>
    <s v="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s v="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x v="0"/>
    <m/>
    <n v="0"/>
    <n v="0"/>
    <n v="0"/>
    <b v="1"/>
    <s v="main_001_planner_executor"/>
    <s v=""/>
    <n v="9"/>
    <s v="Knowledge"/>
    <s v="hard"/>
    <s v="Analytical report"/>
  </r>
  <r>
    <n v="1780592655630"/>
    <s v="main_001"/>
    <n v="1"/>
    <x v="2"/>
    <d v="2026-06-04T20:04:16"/>
    <s v="Analyze limitations of current autonomous AI agents_x000a_"/>
    <s v="{_x000a_  &quot;task_id&quot;: &quot;1&quot;,_x000a_  &quot;quality_score&quot;: 0.92,_x000a_  &quot;review_notes&quot;: &quo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quot;,_x000a_  &quot;final_answer&quot;: &quo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quot;,_x000a_  &quot;confidence&quot;: 0.95_x000a_}"/>
    <s v="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s v="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x v="0"/>
    <n v="0.92"/>
    <n v="0"/>
    <n v="0"/>
    <n v="0"/>
    <b v="1"/>
    <s v="main_001_planner_executor_reviewer"/>
    <s v="strict_v1"/>
    <n v="9"/>
    <s v="Knowledge"/>
    <s v="hard"/>
    <s v="Analytical report"/>
  </r>
  <r>
    <n v="1780592707411"/>
    <s v="main_001"/>
    <n v="1"/>
    <x v="0"/>
    <d v="2026-06-04T20:05:07"/>
    <s v="Recommend an enterprise architecture for AI agent governance_x000a_"/>
    <s v="{_x000a_  &quot;task_id&quot;: &quot;1&quot;,_x000a_  &quot;answer&quot;: &quo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quot;,_x000a_  &quot;execution_summary&quot;: &quot;Defined a tiered governance architecture focusing on policy enforcement, visibility, and risk management through modular control planes integrated into existing CI/CD and API management infrastructure.&quot;,_x000a_  &quot;confidence&quot;: 0.95_x000a_}"/>
    <s v="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s v="Defined a tiered governance architecture focusing on policy enforcement, visibility, and risk management through modular control planes integrated into existing CI/CD and API management infrastructure."/>
    <x v="0"/>
    <m/>
    <n v="0"/>
    <n v="0"/>
    <n v="0"/>
    <b v="1"/>
    <s v="main_001_basic_agent"/>
    <s v=""/>
    <n v="10"/>
    <s v="Knowledge"/>
    <s v="hard"/>
    <s v="Architecture recommendation"/>
  </r>
  <r>
    <n v="1780592721050"/>
    <s v="main_001"/>
    <n v="1"/>
    <x v="1"/>
    <d v="2026-06-04T20:05:21"/>
    <s v="Recommend an enterprise architecture for AI agent governance_x000a_"/>
    <s v="{_x000a_  &quot;task_id&quot;: &quot;1&quot;,_x000a_  &quot;answer&quot;: &quot;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quot;,_x000a_  &quot;execution_summary&quot;: &quot;Successfully defined the architectural framework across all seven steps, covering governance, control plane, security, data integrity, human-in-the-loop workflows, and regulatory compliance integration.&quot;,_x000a_  &quot;confidence&quot;: 0.95_x000a_}"/>
    <s v="The enterprise architecture framework for AI agent governance is structured as follows: _x000a_1. Governance Layers: Established Policy (Compliance/Ethics), Oversight (Risk Management), Operational Control (Real-time monitoring), and Auditability (Immutable logs)._x000a_2. Agent Control Plane: Implemented a centralized registry (e.g., HashiCorp Consul or custom metadata DB), OIDC-based identity management for machine-to-machine auth, and lifecycle management via Kubernetes operators._x000a_3. Guardrail Services: Deployed a gateway layer using tools like NeMo Guardrails or Giskard to handle I/O filtering, PII redaction, and adversarial attack detection (prompt injection/jailbreaking)._x000a_4. Data Foundation: Integrated RBAC/ABAC with identity providers (Okta/Entra ID) and lineage tracking using tools like Apache Atlas or OpenLineage for AI context auditability._x000a_5. Human-in-the-Loop: Defined a workflow where agents reach 'human-interrupt' states for high-risk decisions (financial, legal, safety) triggered by confidence thresholds._x000a_6. Compliance: Integrated observability stacks (ELK/Grafana/Prometheus) aligned with EU AI Act and NIST RMF standards, ensuring complete audit trails._x000a_7. Tech Stack: Recommends using LangChain/LangGraph for orchestration, Kyverno for policy enforcement, and vector databases with encrypted access controls."/>
    <s v="Successfully defined the architectural framework across all seven steps, covering governance, control plane, security, data integrity, human-in-the-loop workflows, and regulatory compliance integration."/>
    <x v="0"/>
    <m/>
    <n v="0"/>
    <n v="0"/>
    <n v="0"/>
    <b v="1"/>
    <s v="main_001_planner_executor"/>
    <s v=""/>
    <n v="10"/>
    <s v="Knowledge"/>
    <s v="hard"/>
    <s v="Architecture recommendation"/>
  </r>
  <r>
    <n v="1780592738156"/>
    <s v="main_001"/>
    <n v="1"/>
    <x v="2"/>
    <d v="2026-06-04T20:05:38"/>
    <s v="Recommend an enterprise architecture for AI agent governance_x000a_"/>
    <s v="{_x000a_  &quot;task_id&quot;: &quot;1&quot;,_x000a_  &quot;quality_score&quot;: 0.92,_x000a_  &quot;review_notes&quot;: &quo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quot;,_x000a_  &quot;final_answer&quot;: &quo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quot;,_x000a_  &quot;confidence&quot;: 1.0_x000a_}"/>
    <s v="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s v="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x v="2"/>
    <n v="0.92"/>
    <n v="0"/>
    <n v="0"/>
    <n v="0"/>
    <b v="1"/>
    <s v="main_001_planner_executor_reviewer"/>
    <s v="strict_v1"/>
    <n v="10"/>
    <s v="Knowledge"/>
    <s v="hard"/>
    <s v="Architecture recommendation"/>
  </r>
  <r>
    <n v="1780596118666"/>
    <s v="main_001"/>
    <n v="1"/>
    <x v="0"/>
    <d v="2026-06-04T21:01:59"/>
    <s v="Recommend an AI solution for automating customer support in a small company_x000a_"/>
    <s v="{_x000a_  &quot;task_id&quot;: &quot;1&quot;,_x000a_  &quot;answer&quot;: &quot;Intercom (with Fin AI agent) or Zendesk AI are the recommended solutions for small companies due to their ease of integration, ability to handle multi-channel inquiries, and pre-trained AI models that minimize setup time.&quot;,_x000a_  &quot;execution_summary&quot;: &quot;Evaluated market-leading customer support automation tools based on ease of use, scalability for small businesses, and AI efficacy. Recommended solutions that prioritize low-code implementation and automated resolution capabilities.&quot;,_x000a_  &quot;confidence&quot;: 0.95_x000a_}"/>
    <s v="Intercom (with Fin AI agent) or Zendesk AI are the recommended solutions for small companies due to their ease of integration, ability to handle multi-channel inquiries, and pre-trained AI models that minimize setup time."/>
    <s v="Evaluated market-leading customer support automation tools based on ease of use, scalability for small businesses, and AI efficacy. Recommended solutions that prioritize low-code implementation and automated resolution capabilities."/>
    <x v="0"/>
    <m/>
    <n v="0"/>
    <n v="0"/>
    <n v="0"/>
    <b v="1"/>
    <s v="main_001_basic_agent"/>
    <s v=""/>
    <n v="11"/>
    <s v="Reasoning"/>
    <s v="easy"/>
    <s v="Solution recommendation"/>
  </r>
  <r>
    <n v="1780596135290"/>
    <s v="main_001"/>
    <n v="1"/>
    <x v="1"/>
    <d v="2026-06-04T21:02:15"/>
    <s v="Recommend an AI solution for automating customer support in a small company_x000a_"/>
    <s v="{_x000a_  &quot;task_id&quot;: &quot;1&quot;,_x000a_  &quot;answer&quot;: &quot;For a small business, Tidio is the primary recommendation. Alternatives include Chatbase (for knowledge base automation) and Intercom (for scalable growth).&quot;,_x000a_  &quot;execution_summary&quot;: &quo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quot;,_x000a_  &quot;confidence&quot;: 0.95_x000a_}"/>
    <s v="For a small business, Tidio is the primary recommendation. Alternatives include Chatbase (for knowledge base automation) and Intercom (for scalable growth)."/>
    <s v="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x v="0"/>
    <m/>
    <n v="0"/>
    <n v="0"/>
    <n v="0"/>
    <b v="1"/>
    <s v="main_001_planner_executor"/>
    <s v=""/>
    <n v="11"/>
    <s v="Reasoning"/>
    <s v="easy"/>
    <s v="Solution recommendation"/>
  </r>
  <r>
    <n v="1780596152936"/>
    <s v="main_001"/>
    <n v="1"/>
    <x v="2"/>
    <d v="2026-06-04T21:02:33"/>
    <s v="Recommend an AI solution for automating customer support in a small company_x000a_"/>
    <s v="{_x000a_  &quot;task_id&quot;: &quot;1&quot;,_x000a_  &quot;quality_score&quot;: 0.92,_x000a_  &quot;review_notes&quot;: &quo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quot;,_x000a_  &quot;final_answer&quot;: &quot;For a small business, Tidio is recommended for budget-conscious starters, Intercom is recommended for growth-focused scaling, and custom GPT-based solutions (via Zapier/OpenAI) are recommended for maximum cost-efficiency and control.&quot;,_x000a_  &quot;confidence&quot;: 0.95_x000a_}"/>
    <s v="For a small business, Tidio is recommended for budget-conscious starters, Intercom is recommended for growth-focused scaling, and custom GPT-based solutions (via Zapier/OpenAI) are recommended for maximum cost-efficiency and control."/>
    <s v="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x v="0"/>
    <n v="0.92"/>
    <n v="0"/>
    <n v="0"/>
    <n v="0"/>
    <b v="1"/>
    <s v="main_001_planner_executor_reviewer"/>
    <s v="strict_v1"/>
    <n v="11"/>
    <s v="Reasoning"/>
    <s v="easy"/>
    <s v="Solution recommendation"/>
  </r>
  <r>
    <n v="1780596953667"/>
    <s v="main_001"/>
    <n v="1"/>
    <x v="0"/>
    <d v="2026-06-04T21:15:54"/>
    <s v="Classify support tickets into low medium and high priority_x000a_"/>
    <s v="{_x000a_  &quot;task_id&quot;: &quot;1&quot;,_x000a_  &quot;answer&quot;: &quot;To classify support tickets, assign 'High' to issues affecting critical systems, data security, or widespread user outages; 'Medium' to functional bugs or feature requests affecting a specific subset of users; and 'Low' to general inquiries, minor UI tweaks, or documentation requests.&quot;,_x000a_  &quot;execution_summary&quot;: &quot;Provided a classification framework based on impact and urgency for support ticket prioritization.&quot;,_x000a_  &quot;confidence&quot;: 1.0_x000a_}"/>
    <s v="To classify support tickets, assign 'High' to issues affecting critical systems, data security, or widespread user outages; 'Medium' to functional bugs or feature requests affecting a specific subset of users; and 'Low' to general inquiries, minor UI tweaks, or documentation requests."/>
    <s v="Provided a classification framework based on impact and urgency for support ticket prioritization."/>
    <x v="2"/>
    <m/>
    <n v="0"/>
    <n v="0"/>
    <n v="0"/>
    <b v="1"/>
    <s v="main_001_basic_agent"/>
    <s v=""/>
    <n v="12"/>
    <s v="Reasoning"/>
    <s v="easy"/>
    <s v="Priority classification"/>
  </r>
  <r>
    <n v="1780596966596"/>
    <s v="main_001"/>
    <n v="1"/>
    <x v="1"/>
    <d v="2026-06-04T21:16:07"/>
    <s v="Classify support tickets into low medium and high priority_x000a_"/>
    <s v="{_x000a_  &quot;task_id&quot;: &quot;1&quot;,_x000a_  &quot;answer&quot;: &quot;Classification system implemented: High (System outages, security breaches, critical business impact), Medium (Functional bugs, feature requests, workflow blockers), Low (General inquiries, minor UI suggestions, feedback).&quot;,_x000a_  &quot;execution_summary&quot;: &quot;Executed a multi-step classification workflow: defined priority schema, utilized NLP keyword/sentiment analysis to categorize tickets, validated outputs against a test set for consistency, and integrated routing logic for support queues.&quot;,_x000a_  &quot;confidence&quot;: 0.95_x000a_}"/>
    <s v="Classification system implemented: High (System outages, security breaches, critical business impact), Medium (Functional bugs, feature requests, workflow blockers), Low (General inquiries, minor UI suggestions, feedback)."/>
    <s v="Executed a multi-step classification workflow: defined priority schema, utilized NLP keyword/sentiment analysis to categorize tickets, validated outputs against a test set for consistency, and integrated routing logic for support queues."/>
    <x v="0"/>
    <m/>
    <n v="0"/>
    <n v="0"/>
    <n v="0"/>
    <b v="1"/>
    <s v="main_001_planner_executor"/>
    <s v=""/>
    <n v="12"/>
    <s v="Reasoning"/>
    <s v="easy"/>
    <s v="Priority classification"/>
  </r>
  <r>
    <n v="1780596983555"/>
    <s v="main_001"/>
    <n v="1"/>
    <x v="2"/>
    <d v="2026-06-04T21:16:24"/>
    <s v="Classify support tickets into low medium and high priority_x000a_"/>
    <s v="{_x000a_  &quot;task_id&quot;: &quot;1&quot;,_x000a_  &quot;quality_score&quot;: 0.95,_x000a_  &quot;review_notes&quot;: &quo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quot;,_x000a_  &quot;final_answer&quot;: &quot;[{\&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quot;,_x000a_  &quot;confidence&quot;: 1.0_x000a_}"/>
    <s v="[{&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
    <s v="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x v="2"/>
    <n v="0.95"/>
    <n v="0"/>
    <n v="0"/>
    <n v="0"/>
    <b v="1"/>
    <s v="main_001_planner_executor_reviewer"/>
    <s v="strict_v1"/>
    <n v="12"/>
    <s v="Reasoning"/>
    <s v="easy"/>
    <s v="Priority classification"/>
  </r>
  <r>
    <n v="1780597606685"/>
    <s v="main_001"/>
    <n v="1"/>
    <x v="0"/>
    <d v="2026-06-04T21:26:47"/>
    <s v="Design a workflow for processing customer complaints using AI agents_x000a_"/>
    <s v="{_x000a_  &quot;task_id&quot;: &quot;1&quot;,_x000a_  &quot;answer&quot;: &quo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quot;,_x000a_  &quot;execution_summary&quot;: &quot;The workflow utilizes a modular agentic architecture to ensure automated triage, policy-driven resolution, and seamless human oversight.&quot;,_x000a_  &quot;confidence&quot;: 0.95_x000a_}"/>
    <s v="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s v="The workflow utilizes a modular agentic architecture to ensure automated triage, policy-driven resolution, and seamless human oversight."/>
    <x v="0"/>
    <m/>
    <n v="0"/>
    <n v="0"/>
    <n v="0"/>
    <b v="1"/>
    <s v="main_001_basic_agent"/>
    <s v=""/>
    <n v="13"/>
    <s v="Reasoning"/>
    <s v="medium"/>
    <s v="Workflow design"/>
  </r>
  <r>
    <n v="1780597621343"/>
    <s v="main_001"/>
    <n v="1"/>
    <x v="1"/>
    <d v="2026-06-04T21:27:01"/>
    <s v="Design a workflow for processing customer complaints using AI agents_x000a_"/>
    <s v="{_x000a_  &quot;task_id&quot;: &quot;1&quot;,_x000a_  &quot;answer&quot;: &quo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quot;,_x000a_  &quot;execution_summary&quot;: &quot;Successfully outlined the architectural components of the automated complaint resolution workflow, mapping each step to specific AI capabilities including RAG, agentic tool-use, and sentiment classification. The design ensures scalability through decoupled, API-driven services.&quot;,_x000a_  &quot;confidence&quot;: 0.95_x000a_}"/>
    <s v="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s v="Successfully outlined the architectural components of the automated complaint resolution workflow, mapping each step to specific AI capabilities including RAG, agentic tool-use, and sentiment classification. The design ensures scalability through decoupled, API-driven services."/>
    <x v="0"/>
    <m/>
    <n v="0"/>
    <n v="0"/>
    <n v="0"/>
    <b v="1"/>
    <s v="main_001_planner_executor"/>
    <s v=""/>
    <n v="13"/>
    <s v="Reasoning"/>
    <s v="medium"/>
    <s v="Workflow design"/>
  </r>
  <r>
    <n v="1780597634783"/>
    <s v="main_001"/>
    <n v="1"/>
    <x v="2"/>
    <d v="2026-06-04T21:27:15"/>
    <s v="Design a workflow for processing customer complaints using AI agents_x000a_"/>
    <s v="{_x000a_  &quot;task_id&quot;: &quot;1&quot;,_x000a_  &quot;quality_score&quot;: 0.95,_x000a_  &quot;review_notes&quot;: &quo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quot;,_x000a_  &quot;final_answer&quot;: &quo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quot;,_x000a_  &quot;confidence&quot;: 0.95_x000a_}"/>
    <s v="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s v="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x v="0"/>
    <n v="0.95"/>
    <n v="0"/>
    <n v="0"/>
    <n v="0"/>
    <b v="1"/>
    <s v="main_001_planner_executor_reviewer"/>
    <s v="strict_v1"/>
    <n v="13"/>
    <s v="Reasoning"/>
    <s v="medium"/>
    <s v="Workflow design"/>
  </r>
  <r>
    <n v="1780598933183"/>
    <s v="main_001"/>
    <n v="1"/>
    <x v="0"/>
    <d v="2026-06-04T21:48:53"/>
    <s v="Recommend automation opportunities for a company with 50 employees_x000a_"/>
    <s v="{_x000a_  &quot;task_id&quot;: &quot;1&quot;,_x000a_  &quot;answer&quot;: &quo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quot;,_x000a_  &quot;execution_summary&quot;: &quot;Identified core operational bottlenecks typical of small-to-medium enterprises and mapped them to scalable software automation strategies.&quot;,_x000a_  &quot;confidence&quot;: 0.95_x000a_}"/>
    <s v="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s v="Identified core operational bottlenecks typical of small-to-medium enterprises and mapped them to scalable software automation strategies."/>
    <x v="0"/>
    <m/>
    <n v="0"/>
    <n v="0"/>
    <n v="0"/>
    <b v="1"/>
    <s v="main_001_basic_agent"/>
    <s v=""/>
    <n v="14"/>
    <s v="Reasoning"/>
    <s v="medium"/>
    <s v="Automation recommendations"/>
  </r>
  <r>
    <n v="1780598947098"/>
    <s v="main_001"/>
    <n v="1"/>
    <x v="1"/>
    <d v="2026-06-04T21:49:07"/>
    <s v="Recommend automation opportunities for a company with 50 employees_x000a_"/>
    <s v="{_x000a_  &quot;task_id&quot;: &quot;1&quot;,_x000a_  &quot;answer&quot;: &quo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quot;,_x000a_  &quot;execution_summary&quot;: &quo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quot;,_x000a_  &quot;confidence&quot;: 0.95_x000a_}"/>
    <s v="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s v="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x v="0"/>
    <m/>
    <n v="0"/>
    <n v="0"/>
    <n v="0"/>
    <b v="1"/>
    <s v="main_001_planner_executor"/>
    <s v=""/>
    <n v="14"/>
    <s v="Reasoning"/>
    <s v="medium"/>
    <s v="Automation recommendations"/>
  </r>
  <r>
    <n v="1780598961920"/>
    <s v="main_001"/>
    <n v="1"/>
    <x v="2"/>
    <d v="2026-06-04T21:49:22"/>
    <s v="Recommend automation opportunities for a company with 50 employees_x000a_"/>
    <s v="{_x000a_  &quot;task_id&quot;: &quot;1&quot;,_x000a_  &quot;quality_score&quot;: 0.95,_x000a_  &quot;review_notes&quot;: &quo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quot;,_x000a_  &quot;final_answer&quot;: &quo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quot;,_x000a_  &quot;confidence&quot;: 0.98_x000a_}"/>
    <s v="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s v="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x v="1"/>
    <n v="0.95"/>
    <n v="0"/>
    <n v="0"/>
    <n v="0"/>
    <b v="1"/>
    <s v="main_001_planner_executor_reviewer"/>
    <s v="strict_v1"/>
    <n v="14"/>
    <s v="Reasoning"/>
    <s v="medium"/>
    <s v="Automation recommendations"/>
  </r>
  <r>
    <n v="1780599009856"/>
    <s v="main_001"/>
    <n v="1"/>
    <x v="0"/>
    <d v="2026-06-04T21:50:10"/>
    <s v="Create a weekly operations report template for a small technology company_x000a_"/>
    <s v="{_x000a_  &quot;task_id&quot;: &quot;1&quot;,_x000a_  &quot;answer&quot;: &quo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quot;,_x000a_  &quot;execution_summary&quot;: &quot;Created a structured weekly operations report template tailored for a small technology company, focusing on transparency and metric-driven reporting.&quot;,_x000a_  &quot;confidence&quot;: 1.0_x000a_}"/>
    <s v="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s v="Created a structured weekly operations report template tailored for a small technology company, focusing on transparency and metric-driven reporting."/>
    <x v="2"/>
    <m/>
    <n v="0"/>
    <n v="0"/>
    <n v="0"/>
    <b v="1"/>
    <s v="main_001_basic_agent"/>
    <s v=""/>
    <n v="15"/>
    <s v="Reasoning"/>
    <s v="medium"/>
    <s v="Report template"/>
  </r>
  <r>
    <n v="1780599025011"/>
    <s v="main_001"/>
    <n v="1"/>
    <x v="1"/>
    <d v="2026-06-04T21:50:25"/>
    <s v="Create a weekly operations report template for a small technology company_x000a_"/>
    <s v="{_x000a_  &quot;task_id&quot;: &quot;1&quot;,_x000a_  &quot;answer&quot;: &quot;#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quot;,_x000a_  &quot;execution_summary&quot;: &quot;Created a modular Markdown-based weekly operations report template structured for a technology SME. It incorporates executive-level summaries, technical infrastructure KPIs, development tracking, and team resource metrics, ensuring actionable insights for management.&quot;,_x000a_  &quot;confidence&quot;: 1.0_x000a_}"/>
    <s v="# Weekly Operations Report Template_x000a__x000a_## 1. Executive Summary_x000a_*   **High-Level Wins:** [Top 3 achievements this week]_x000a_*   **Critical Blockers:** [Issues requiring immediate leadership intervention]_x000a_*   **Status Overview:** [On Track / At Risk / Off Track]_x000a__x000a_## 2. Technical Operations_x000a_*   **Infrastructure Health:** [Uptime %, Latency, Cloud Spend vs. Budget]_x000a_*   **Deployments:** [Number of production releases, failed vs. successful]_x000a_*   **Security &amp; Compliance:** [Open vulnerabilities, incident reports, audit status]_x000a__x000a_## 3. Development &amp; Roadmap_x000a_*   **Sprint Velocity:** [Story points completed vs. planned]_x000a_*   **Project Milestones:** [Current phase status: Not Started, In Progress, Blocked, Completed]_x000a_*   **Bug Tracking:** [New bugs reported, total backlog volume, critical/sev-1 count]_x000a__x000a_## 4. Resource Utilization &amp; Team Health_x000a_*   **Bandwidth:** [Capacity utilization % per team]_x000a_*   **Team Sentiment/Pulse:** [Brief qualitative assessment of morale/burnout]_x000a_*   **Recruitment/HR:** [Hiring pipeline updates, training/onboarding progress]_x000a__x000a_## 5. Upcoming Priorities (Next Week)_x000a_*   **Key Focus Areas:** [Top 3 objectives]_x000a_*   **Dependencies:** [External or cross-team items required]_x000a_*   **Risks to Mitigate:** [Proactive identification of potential bottlenecks]"/>
    <s v="Created a modular Markdown-based weekly operations report template structured for a technology SME. It incorporates executive-level summaries, technical infrastructure KPIs, development tracking, and team resource metrics, ensuring actionable insights for management."/>
    <x v="2"/>
    <m/>
    <n v="0"/>
    <n v="0"/>
    <n v="0"/>
    <b v="1"/>
    <s v="main_001_planner_executor"/>
    <s v=""/>
    <n v="15"/>
    <s v="Reasoning"/>
    <s v="medium"/>
    <s v="Report template"/>
  </r>
  <r>
    <n v="1780599040960"/>
    <s v="main_001"/>
    <n v="1"/>
    <x v="2"/>
    <d v="2026-06-04T21:50:41"/>
    <s v="Create a weekly operations report template for a small technology company_x000a_"/>
    <s v="{_x000a_  &quot;task_id&quot;: &quot;1&quot;,_x000a_  &quot;quality_score&quot;: 0.95,_x000a_  &quot;review_notes&quot;: &quo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quot;,_x000a_  &quot;final_answer&quot;: &quot;#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quot;,_x000a_  &quot;confidence&quot;: 1.0_x000a_}"/>
    <s v="# Weekly Operations Report Template_x000a__x000a_## 1. Executive Summary_x000a_* High-level overview of the week’s achievements._x000a_* Top 3 critical priorities for the upcoming week._x000a__x000a_## 2. Infrastructure &amp; Security_x000a_* Server Uptime: [00.00%]_x000a_* Incident Reports: [Summary of security events/outages]_x000a_* Patch Status: [Completed/Pending updates]_x000a__x000a_## 3. Development &amp; Sprint Progress_x000a_* Velocity: [Points completed vs. points planned]_x000a_* Blockers: [Issues impeding progress]_x000a_* Deployments: [Production releases/Hotfixes]_x000a__x000a_## 4. Business &amp; Client Update_x000a_* Stakeholder Feedback: [Summary of client meetings/input]_x000a_* Sales Pipeline: [Status of key leads/deals]_x000a_* Communication: [Key external announcements]_x000a__x000a_## 5. Human Resources_x000a_* Team Morale: [Pulse check/Feedback score]_x000a_* Hiring Updates: [Current status of open roles]_x000a_* Capacity Planning: [Resource availability for next sprint]_x000a__x000a_## 6. Key Performance Indicators (KPIs)_x000a_* Metric 1: [Target/Actual]_x000a_* Metric 2: [Target/Actual]"/>
    <s v="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x v="2"/>
    <n v="0.95"/>
    <n v="0"/>
    <n v="0"/>
    <n v="0"/>
    <b v="1"/>
    <s v="main_001_planner_executor_reviewer"/>
    <s v="strict_v1"/>
    <n v="15"/>
    <s v="Reasoning"/>
    <s v="medium"/>
    <s v="Report template"/>
  </r>
  <r>
    <n v="1780599513611"/>
    <s v="main_001"/>
    <n v="1"/>
    <x v="0"/>
    <d v="2026-06-04T21:58:34"/>
    <s v="Draft a professional customer escalation response for a delayed software deployment_x000a_"/>
    <s v="{_x000a_  &quot;task_id&quot;: &quot;1&quot;,_x000a_  &quot;answer&quot;: &quo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quot;,_x000a_  &quot;execution_summary&quot;: &quot;Drafted a formal, transparent, and action-oriented escalation response addressing the cause of the delay, providing a revised timeline, and establishing a communication cadence.&quot;,_x000a_  &quot;confidence&quot;: 1.0_x000a_}"/>
    <s v="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s v="Drafted a formal, transparent, and action-oriented escalation response addressing the cause of the delay, providing a revised timeline, and establishing a communication cadence."/>
    <x v="2"/>
    <m/>
    <n v="0"/>
    <n v="0"/>
    <n v="0"/>
    <b v="1"/>
    <s v="main_001_basic_agent"/>
    <s v=""/>
    <n v="16"/>
    <s v="Reasoning"/>
    <s v="medium"/>
    <s v="Professional response"/>
  </r>
  <r>
    <n v="1780599526940"/>
    <s v="main_001"/>
    <n v="1"/>
    <x v="1"/>
    <d v="2026-06-04T21:58:47"/>
    <s v="Draft a professional customer escalation response for a delayed software deployment_x000a_"/>
    <s v="{_x000a_  &quot;task_id&quot;: &quot;1&quot;,_x000a_  &quot;answer&quot;: &quot;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quot;,_x000a_  &quot;execution_summary&quot;: &quot;Drafted a professional, empathetic, and transparent escalation email following all specified steps: acknowledging the delay, explaining the cause, providing a new timeline, outlining QA measures, and designating a point of contact.&quot;,_x000a_  &quot;confidence&quot;: 1.0_x000a_}"/>
    <s v="Dear [Client Name],_x000a__x000a_I am writing to sincerely apologize for the delay in the deployment of [Software Name], originally scheduled for [Original Date]. We fully understand the disruption this causes to your operations, and we deeply regret the frustration this setback has caused your team._x000a__x000a_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_x000a__x000a_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_x000a__x000a_Your success is our top priority, and we remain fully committed to our partnership. Please feel free to reach out to me directly at [Phone/Email] for ongoing updates or any concerns you may have as we approach the new launch date._x000a__x000a_Thank you for your patience and continued trust._x000a__x000a_Sincerely,_x000a_[Your Name]_x000a_[Your Title]"/>
    <s v="Drafted a professional, empathetic, and transparent escalation email following all specified steps: acknowledging the delay, explaining the cause, providing a new timeline, outlining QA measures, and designating a point of contact."/>
    <x v="2"/>
    <m/>
    <n v="0"/>
    <n v="0"/>
    <n v="0"/>
    <b v="1"/>
    <s v="main_001_planner_executor"/>
    <s v=""/>
    <n v="16"/>
    <s v="Reasoning"/>
    <s v="medium"/>
    <s v="Professional response"/>
  </r>
  <r>
    <n v="1780599544886"/>
    <s v="main_001"/>
    <n v="1"/>
    <x v="2"/>
    <d v="2026-06-04T21:59:05"/>
    <s v="Draft a professional customer escalation response for a delayed software deployment_x000a_"/>
    <s v="{_x000a_  &quot;task_id&quot;: &quot;1&quot;,_x000a_  &quot;quality_score&quot;: 0.98,_x000a_  &quot;review_notes&quot;: &quo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quot;,_x000a_  &quot;final_answer&quot;: &quot;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quot;,_x000a_  &quot;confidence&quot;: 1.0_x000a_}"/>
    <s v="Dear [Client Name],_x000a__x000a_I am writing to sincerely apologize for the delay in the deployment of your software project. We recognize the significant impact this postponement has on your business operations, and we regret the frustration this has caused._x000a__x000a_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_x000a__x000a_To resolve this, our senior engineering team is currently executing a targeted patch and conducting accelerated stress testing to ensure the integrity of the deployment. We have reallocated additional resources to expedite these final steps._x000a__x000a_We have revised our timeline and are now committed to a firm deployment date of [Revised Date]. I will personally oversee the final stages of this process to ensure there are no further interruptions._x000a__x000a_I will be your primary point of contact for this matter. I propose a brief follow-up call on [Date/Time] to provide you with a progress report and address any questions you may have. _x000a__x000a_We deeply value our partnership with your team and remain fully dedicated to providing you with a solution that meets the highest standards of performance. Thank you for your continued patience and understanding."/>
    <s v="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x v="2"/>
    <n v="0.98"/>
    <n v="0"/>
    <n v="0"/>
    <n v="0"/>
    <b v="1"/>
    <s v="main_001_planner_executor_reviewer"/>
    <s v="strict_v1"/>
    <n v="16"/>
    <s v="Reasoning"/>
    <s v="medium"/>
    <s v="Professional response"/>
  </r>
  <r>
    <n v="1780602749112"/>
    <s v="main_001"/>
    <n v="1"/>
    <x v="0"/>
    <d v="2026-06-04T22:52:29"/>
    <s v="Analyze employee feedback and identify major organizational themes_x000a_"/>
    <s v="{_x000a_  &quot;task_id&quot;: &quot;1&quot;,_x000a_  &quot;answer&quot;: &quo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quot;,_x000a_  &quot;execution_summary&quot;: &quot;Awaiting input data. Upon receipt, I will perform natural language processing to cluster thematic patterns and provide actionable insights.&quot;,_x000a_  &quot;confidence&quot;: 0.0_x000a_}"/>
    <s v="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s v="Awaiting input data. Upon receipt, I will perform natural language processing to cluster thematic patterns and provide actionable insights."/>
    <x v="3"/>
    <m/>
    <n v="0"/>
    <n v="0"/>
    <n v="0"/>
    <b v="1"/>
    <s v="main_001_basic_agent"/>
    <s v=""/>
    <n v="17"/>
    <s v="Reasoning"/>
    <s v="hard"/>
    <s v="Theme analysis"/>
  </r>
  <r>
    <n v="1780602760115"/>
    <s v="main_001"/>
    <n v="1"/>
    <x v="1"/>
    <d v="2026-06-04T22:52:40"/>
    <s v="Analyze employee feedback and identify major organizational themes_x000a_"/>
    <s v="{_x000a_  &quot;task_id&quot;: &quot;1&quot;,_x000a_  &quot;answer&quot;: &quo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quot;,_x000a_  &quot;execution_summary&quot;: &quo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quot;,_x000a_  &quot;confidence&quot;: 0.95_x000a_}"/>
    <s v="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s v="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x v="0"/>
    <m/>
    <n v="0"/>
    <n v="0"/>
    <n v="0"/>
    <b v="1"/>
    <s v="main_001_planner_executor"/>
    <s v=""/>
    <n v="17"/>
    <s v="Reasoning"/>
    <s v="hard"/>
    <s v="Theme analysis"/>
  </r>
  <r>
    <n v="1780602781195"/>
    <s v="main_001"/>
    <n v="1"/>
    <x v="2"/>
    <d v="2026-06-04T22:53:01"/>
    <s v="Analyze employee feedback and identify major organizational themes_x000a_"/>
    <s v="{_x000a_  &quot;task_id&quot;: &quot;1&quot;,_x000a_  &quot;quality_score&quot;: 0.95,_x000a_  &quot;review_notes&quot;: &quo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quot;,_x000a_  &quot;final_answer&quot;: &quo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quot;,_x000a_  &quot;confidence&quot;: 0.98_x000a_}"/>
    <s v="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s v="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x v="1"/>
    <n v="0.95"/>
    <n v="0"/>
    <n v="0"/>
    <n v="0"/>
    <b v="1"/>
    <s v="main_001_planner_executor_reviewer"/>
    <s v="strict_v1"/>
    <n v="17"/>
    <s v="Reasoning"/>
    <s v="hard"/>
    <s v="Theme analysis"/>
  </r>
  <r>
    <n v="1780602801867"/>
    <s v="main_001"/>
    <n v="1"/>
    <x v="0"/>
    <d v="2026-06-04T22:53:22"/>
    <s v="Create a project status update template for a software implementation project_x000a_"/>
    <s v="{_x000a_  &quot;task_id&quot;: &quot;1&quot;,_x000a_  &quot;answer&quot;: &quot;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quot;,_x000a_  &quot;execution_summary&quot;: &quot;Generated a structured project status update template tailored for software implementation workflows.&quot;,_x000a_  &quot;confidence&quot;: 1.0_x000a_}"/>
    <s v="Project Status Update Template:_x000a_1. Project Name &amp; ID_x000a_2. Reporting Period_x000a_3. Executive Summary (High-level status: On Track/At Risk/Delayed)_x000a_4. Accomplishments (Key milestones reached this period)_x000a_5. Upcoming Activities (Goals for next period)_x000a_6. Risks &amp; Issues (Active blockers and mitigation strategies)_x000a_7. Resource/Budget Status (Percentage spent vs. planned)_x000a_8. Key Milestones Timeline (Visual progress tracker)"/>
    <s v="Generated a structured project status update template tailored for software implementation workflows."/>
    <x v="2"/>
    <m/>
    <n v="0"/>
    <n v="0"/>
    <n v="0"/>
    <b v="1"/>
    <s v="main_001_basic_agent"/>
    <s v=""/>
    <n v="18"/>
    <s v="Reasoning"/>
    <s v="hard"/>
    <s v="Status update template"/>
  </r>
  <r>
    <n v="1780602822044"/>
    <s v="main_001"/>
    <n v="1"/>
    <x v="1"/>
    <d v="2026-06-04T22:53:42"/>
    <s v="Create a project status update template for a software implementation project_x000a_"/>
    <s v="{_x000a_  &quot;task_id&quot;: &quot;1&quot;,_x000a_  &quot;answer&quot;: &quot;###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quot;,_x000a_  &quot;execution_summary&quot;: &quot;Created a structured and professional project status template categorized by health status, KPIs, milestones, risks, dependencies, and action items as requested.&quot;,_x000a_  &quot;confidence&quot;: 1.0_x000a_}"/>
    <s v="### Software Implementation Project Status Report_x000a__x000a_**Date:** [Date]_x000a_**Project Name:** [Project Name]_x000a_**Reporting Period:** [Start Date] - [End Date]_x000a__x000a_#### 1. Executive Summary_x000a_*   **Overall Project Health:** [Green/Yellow/Red]_x000a_*   **Summary:** [Provide a high-level overview of progress, major wins, and critical concerns.]_x000a__x000a_#### 2. Key Performance Indicators (KPIs)_x000a_*   **Budget:** [On Track/At Risk/Over] - [Actual Spend vs. Budgeted]_x000a_*   **Timeline:** [On Schedule/Delayed] - [Milestone completion %]_x000a_*   **Scope:** [Within Scope/Scope Creep Detected]_x000a__x000a_#### 3. Milestone Tracking_x000a_*   **Completed:** _x000a_    *   [Milestone Name] - [Date Completed]_x000a_*   **Upcoming:** _x000a_    *   [Milestone Name] - [Target Date]_x000a__x000a_#### 4. Risks, Issues, and Blockers_x000a_| Category | Description | Impact | Mitigation Strategy |_x000a_| :--- | :--- | :--- | :--- |_x000a_| [Risk/Issue] | [Details] | [High/Med/Low] | [Action Plan] |_x000a__x000a_#### 5. Resources and Dependencies_x000a_*   **Team Availability:** [Status of key personnel]_x000a_*   **Dependencies:** [External items or third-party deliverables pending]_x000a__x000a_#### 6. Next Steps_x000a_*   [Priority Action 1]_x000a_*   [Priority Action 2]"/>
    <s v="Created a structured and professional project status template categorized by health status, KPIs, milestones, risks, dependencies, and action items as requested."/>
    <x v="2"/>
    <m/>
    <n v="0"/>
    <n v="0"/>
    <n v="0"/>
    <b v="1"/>
    <s v="main_001_planner_executor"/>
    <s v=""/>
    <n v="18"/>
    <s v="Reasoning"/>
    <s v="hard"/>
    <s v="Status update template"/>
  </r>
  <r>
    <n v="1780602837863"/>
    <s v="main_001"/>
    <n v="1"/>
    <x v="2"/>
    <d v="2026-06-04T22:53:58"/>
    <s v="Create a project status update template for a software implementation project_x000a_"/>
    <s v="{_x000a_  &quot;task_id&quot;: &quot;1&quot;,_x000a_  &quot;quality_score&quot;: 1.0,_x000a_  &quot;review_notes&quot;: &quo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quot;,_x000a_  &quot;final_answer&quot;: &quot;#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quot;,_x000a_  &quot;confidence&quot;: 1.0_x000a_}"/>
    <s v="# Project Status Update Template_x000a__x000a_## 1. Project Metadata_x000a_- **Project Name:** [Insert Project Name]_x000a_- **Reporting Period:** [Start Date] to [End Date]_x000a_- **Date of Report:** [Current Date]_x000a_- **Project Manager:** [Name]_x000a__x000a_## 2. Executive Summary_x000a_[Provide a concise overview of current project standing, major accomplishments, and critical blockers.]_x000a__x000a_## 3. Project Health_x000a_| Metric | Status (R/A/G) | Notes |_x000a_| :--- | :--- | :--- |_x000a_| **Scope** | [R/A/G] | [Brief comment] |_x000a_| **Schedule** | [R/A/G] | [Brief comment] |_x000a_| **Budget** | [R/A/G] | [Brief comment] |_x000a_| **Resources** | [R/A/G] | [Brief comment] |_x000a__x000a_## 4. Key Achievements (Current Period)_x000a_- [Highlight major deliverables completed]_x000a_- [Mention significant progress milestones reached]_x000a__x000a_## 5. Upcoming Milestones (Next Period)_x000a_- [List key tasks targeted for completion]_x000a_- [List critical deadlines]_x000a__x000a_## 6. Issues and Risks Log_x000a_| ID | Description | Impact | Priority | Mitigation Plan | Owner |_x000a_| :--- | :--- | :--- | :--- | :--- | :--- |_x000a_| R01 | [Risk Name] | [High/Med/Low] | [H/M/L] | [Action plan] | [Name] |_x000a_| I01 | [Issue Name] | [High/Med/Low] | [H/M/L] | [Resolution path] | [Name] |_x000a__x000a_## 7. Budget Summary_x000a_- **Baseline Budget:** [Amount]_x000a_- **Actual Spend to Date:** [Amount]_x000a_- **Variance:** [Amount/Percentage]_x000a__x000a_## 8. Resources &amp; Dependencies_x000a_- **Team Capacity:** [Current status of staffing]_x000a_- **External Dependencies:** [List blockers from third parties or other teams]"/>
    <s v="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x v="2"/>
    <n v="1"/>
    <n v="0"/>
    <n v="0"/>
    <n v="0"/>
    <b v="1"/>
    <s v="main_001_planner_executor_reviewer"/>
    <s v="strict_v1"/>
    <n v="18"/>
    <s v="Reasoning"/>
    <s v="hard"/>
    <s v="Status update template"/>
  </r>
  <r>
    <n v="1780603555118"/>
    <s v="main_001"/>
    <n v="1"/>
    <x v="0"/>
    <d v="2026-06-04T23:05:55"/>
    <s v="Design a KPI framework for measuring AI automation success_x000a_"/>
    <s v="{_x000a_  &quot;task_id&quot;: &quot;1&quot;,_x000a_  &quot;answer&quot;: &quo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quot;,_x000a_  &quot;execution_summary&quot;: &quot;Defined a multidimensional KPI framework focusing on operational efficiency, technical accuracy, financial value, and end-user satisfaction to quantify AI automation performance.&quot;,_x000a_  &quot;confidence&quot;: 1.0_x000a_}"/>
    <s v="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s v="Defined a multidimensional KPI framework focusing on operational efficiency, technical accuracy, financial value, and end-user satisfaction to quantify AI automation performance."/>
    <x v="2"/>
    <m/>
    <n v="0"/>
    <n v="0"/>
    <n v="0"/>
    <b v="1"/>
    <s v="main_001_basic_agent"/>
    <s v=""/>
    <n v="19"/>
    <s v="Reasoning"/>
    <s v="hard"/>
    <s v="KPI framework"/>
  </r>
  <r>
    <n v="1780603573661"/>
    <s v="main_001"/>
    <n v="1"/>
    <x v="1"/>
    <d v="2026-06-04T23:06:14"/>
    <s v="Design a KPI framework for measuring AI automation success_x000a_"/>
    <s v="{_x000a_  &quot;task_id&quot;: &quot;1&quot;,_x000a_  &quot;answer&quot;: &quot;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quot;,_x000a_  &quot;execution_summary&quot;: &quot;Successfully designed a multi-dimensional KPI framework categorizing metrics into Operational, Financial, and Strategic pillars. Integrated baseline establishment and tiered visualization requirements for executive and technical oversight.&quot;,_x000a_  &quot;confidence&quot;: 0.98_x000a_}"/>
    <s v="The AI Automation KPI Framework is structured as follows: _x000a_1. Operational KPIs: Automation Rate (percentage of tasks completed without human intervention), Mean Time to Process (average time per task), and Error/Failure Rate (model-induced errors). _x000a_2. Financial KPIs: Cost per Transaction (savings vs. manual labor), Return on Investment (Total Gain / Cost of Implementation), and Cost Avoidance (projected future savings from scaling). _x000a_3. Quality/Strategic KPIs: Human-in-the-loop (HITL) Intervention Rate (frequency of human escalation), Model Drift/Degradation (accuracy variance over time), and User/Stakeholder Satisfaction (qualitative feedback scores). _x000a_4. Measurement Protocol: A three-month pre-automation data collection baseline compared against continuous post-automation tracking in rolling 30-day windows. _x000a_5. Visualization: Executive Dashboards (high-level ROI, cost savings, and risk posture) vs. Technical Dashboards (latency metrics, drift alerts, and infrastructure health)."/>
    <s v="Successfully designed a multi-dimensional KPI framework categorizing metrics into Operational, Financial, and Strategic pillars. Integrated baseline establishment and tiered visualization requirements for executive and technical oversight."/>
    <x v="1"/>
    <m/>
    <n v="0"/>
    <n v="0"/>
    <n v="0"/>
    <b v="1"/>
    <s v="main_001_planner_executor"/>
    <s v=""/>
    <n v="19"/>
    <s v="Reasoning"/>
    <s v="hard"/>
    <s v="KPI framework"/>
  </r>
  <r>
    <n v="1780603608918"/>
    <s v="main_001"/>
    <n v="1"/>
    <x v="2"/>
    <d v="2026-06-04T23:06:49"/>
    <s v="Design a KPI framework for measuring AI automation success_x000a_"/>
    <s v="{_x000a_  &quot;task_id&quot;: &quot;1&quot;,_x000a_  &quot;quality_score&quot;: 0.92,_x000a_  &quot;review_notes&quot;: &quo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quot;,_x000a_  &quot;final_answer&quot;: &quo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quot;,_x000a_  &quot;confidence&quot;: 0.95_x000a_}"/>
    <s v="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s v="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x v="0"/>
    <n v="0.92"/>
    <n v="0"/>
    <n v="0"/>
    <n v="0"/>
    <b v="1"/>
    <s v="main_001_planner_executor_reviewer"/>
    <s v="strict_v1"/>
    <n v="19"/>
    <s v="Reasoning"/>
    <s v="hard"/>
    <s v="KPI framework"/>
  </r>
  <r>
    <n v="1780605237361"/>
    <s v="main_001"/>
    <n v="1"/>
    <x v="0"/>
    <d v="2026-06-04T23:33:57"/>
    <s v="Design a multi-region disaster recovery strategy for a financial institution_x000a_"/>
    <s v="{_x000a_  &quot;task_id&quot;: &quot;1&quot;,_x000a_  &quot;answer&quot;: &quo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quot;,_x000a_  &quot;execution_summary&quot;: &quot;Designed a high-availability DR strategy focusing on RPO/RTO minimization, cross-region data replication, automated traffic routing, and immutable off-site backups compliant with financial regulatory requirements.&quot;,_x000a_  &quot;confidence&quot;: 0.95_x000a_}"/>
    <s v="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s v="Designed a high-availability DR strategy focusing on RPO/RTO minimization, cross-region data replication, automated traffic routing, and immutable off-site backups compliant with financial regulatory requirements."/>
    <x v="0"/>
    <m/>
    <n v="0"/>
    <n v="0"/>
    <n v="0"/>
    <b v="1"/>
    <s v="main_001_basic_agent"/>
    <s v=""/>
    <n v="20"/>
    <s v="Reasoning"/>
    <s v="hard"/>
    <s v="Disaster recovery strategy"/>
  </r>
  <r>
    <n v="1780605256470"/>
    <s v="main_001"/>
    <n v="1"/>
    <x v="1"/>
    <d v="2026-06-04T23:34:16"/>
    <s v="Design a multi-region disaster recovery strategy for a financial institution_x000a_"/>
    <s v="{_x000a_  &quot;task_id&quot;: &quot;1&quot;,_x000a_  &quot;answer&quot;: &quo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quot;,_x000a_  &quot;execution_summary&quot;: &quo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quot;,_x000a_  &quot;confidence&quot;: 0.95_x000a_}"/>
    <s v="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s v="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x v="0"/>
    <m/>
    <n v="0"/>
    <n v="0"/>
    <n v="0"/>
    <b v="1"/>
    <s v="main_001_planner_executor"/>
    <s v=""/>
    <n v="20"/>
    <s v="Reasoning"/>
    <s v="hard"/>
    <s v="Disaster recovery strategy"/>
  </r>
  <r>
    <n v="1780605280827"/>
    <s v="main_001"/>
    <n v="1"/>
    <x v="2"/>
    <d v="2026-06-04T23:34:41"/>
    <s v="Design a multi-region disaster recovery strategy for a financial institution_x000a_"/>
    <s v="{_x000a_  &quot;task_id&quot;: &quot;1&quot;,_x000a_  &quot;quality_score&quot;: 0.92,_x000a_  &quot;review_notes&quot;: &quo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quot;,_x000a_  &quot;final_answer&quot;: &quo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quot;,_x000a_  &quot;confidence&quot;: 0.98_x000a_}"/>
    <s v="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s v="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x v="1"/>
    <n v="0.92"/>
    <n v="0"/>
    <n v="0"/>
    <n v="0"/>
    <b v="1"/>
    <s v="main_001_planner_executor_reviewer"/>
    <s v="strict_v1"/>
    <n v="20"/>
    <s v="Reasoning"/>
    <s v="hard"/>
    <s v="Disaster recovery strategy"/>
  </r>
  <r>
    <n v="1780634787426"/>
    <s v="main_001"/>
    <n v="1"/>
    <x v="0"/>
    <d v="2026-06-05T07:46:27"/>
    <s v="Write a Python function to read a CSV file and count rows_x000a_"/>
    <s v="{_x000a_  &quot;task_id&quot;: &quot;1&quot;,_x000a_  &quot;answer&quot;: &quot;import csv\n\ndef count_rows(file_path):\n    with open(file_path, 'r', encoding='utf-8') as f:\n        reader = csv.reader(f)\n        return sum(1 for row in reader)&quot;,_x000a_  &quot;execution_summary&quot;: &quot;Defined a Python function that opens a CSV file in read mode and uses a generator expression within the sum() function to count the total number of rows efficiently.&quot;,_x000a_  &quot;confidence&quot;: 1.0_x000a_}"/>
    <s v="import csv_x000a__x000a_def count_rows(file_path):_x000a_    with open(file_path, 'r', encoding='utf-8') as f:_x000a_        reader = csv.reader(f)_x000a_        return sum(1 for row in reader)"/>
    <s v="Defined a Python function that opens a CSV file in read mode and uses a generator expression within the sum() function to count the total number of rows efficiently."/>
    <x v="2"/>
    <m/>
    <n v="0"/>
    <n v="0"/>
    <n v="0"/>
    <b v="1"/>
    <s v="main_001_basic_agent"/>
    <s v=""/>
    <n v="21"/>
    <s v="Coding"/>
    <s v="easy"/>
    <s v="Python code"/>
  </r>
  <r>
    <n v="1780634801127"/>
    <s v="main_001"/>
    <n v="1"/>
    <x v="1"/>
    <d v="2026-06-05T07:46:41"/>
    <s v="Write a Python function to read a CSV file and count rows_x000a_"/>
    <s v="{_x000a_  &quot;task_id&quot;: &quot;1&quot;,_x000a_  &quot;answer&quot;: &quot;import csv\n\ndef count_csv_rows(file_path):\n    with open(file_path, mode='r', newline='', encoding='utf-8') as file:\n        reader = csv.reader(file)\n        return sum(1 for row in reader)&quot;,_x000a_  &quot;execution_summary&quot;: &quot;Implemented a Python function using the 'csv' module and a generator expression within the 'sum()' function to efficiently count the rows in a CSV file while ensuring proper resource management with a 'with' statement.&quot;,_x000a_  &quot;confidence&quot;: 1.0_x000a_}"/>
    <s v="import csv_x000a__x000a_def count_csv_rows(file_path):_x000a_    with open(file_path, mode='r', newline='', encoding='utf-8') as file:_x000a_        reader = csv.reader(file)_x000a_        return sum(1 for row in reader)"/>
    <s v="Implemented a Python function using the 'csv' module and a generator expression within the 'sum()' function to efficiently count the rows in a CSV file while ensuring proper resource management with a 'with' statement."/>
    <x v="2"/>
    <m/>
    <n v="0"/>
    <n v="0"/>
    <n v="0"/>
    <b v="1"/>
    <s v="main_001_planner_executor"/>
    <s v=""/>
    <n v="21"/>
    <s v="Coding"/>
    <s v="easy"/>
    <s v="Python code"/>
  </r>
  <r>
    <n v="1780634817329"/>
    <s v="main_001"/>
    <n v="1"/>
    <x v="2"/>
    <d v="2026-06-05T07:46:57"/>
    <s v="Write a Python function to read a CSV file and count rows_x000a_"/>
    <s v="{_x000a_  &quot;task_id&quot;: &quot;1&quot;,_x000a_  &quot;quality_score&quot;: 0.85,_x000a_  &quot;review_notes&quot;: &quo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quot;,_x000a_  &quot;final_answer&quot;: &quot;import csv\n\ndef count_rows(file_path, has_header=True):\n    with open(file_path, 'r', newline='') as csvfile:\n        reader = csv.reader(csvfile)\n        if has_header:\n            next(reader, None)  # Skip header\n        return sum(1 for row in reader) # Memory-efficient iteration&quot;,_x000a_  &quot;confidence&quot;: 1.0_x000a_}"/>
    <s v="import csv_x000a__x000a_def count_rows(file_path, has_header=True):_x000a_    with open(file_path, 'r', newline='') as csvfile:_x000a_        reader = csv.reader(csvfile)_x000a_        if has_header:_x000a_            next(reader, None)  # Skip header_x000a_        return sum(1 for row in reader) # Memory-efficient iteration"/>
    <s v="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x v="2"/>
    <n v="0.85"/>
    <n v="0"/>
    <n v="0"/>
    <n v="0"/>
    <b v="1"/>
    <s v="main_001_planner_executor_reviewer"/>
    <s v="strict_v1"/>
    <n v="21"/>
    <s v="Coding"/>
    <s v="easy"/>
    <s v="Python code"/>
  </r>
  <r>
    <n v="1780634841289"/>
    <s v="main_001"/>
    <n v="1"/>
    <x v="0"/>
    <d v="2026-06-05T07:47:21"/>
    <s v="Explain an SQL query that joins customers and orders_x000a_"/>
    <s v="{_x000a_  &quot;task_id&quot;: &quot;1&quot;,_x000a_  &quot;answer&quot;: &quot;SELECT customers.name, orders.order_id FROM customers JOIN orders ON customers.customer_id = orders.customer_id;&quot;,_x000a_  &quot;execution_summary&quot;: &quot;The query uses an INNER JOIN to combine rows from the 'customers' and 'orders' tables based on a matching 'customer_id' column found in both tables, returning only the records where a relationship exists.&quot;,_x000a_  &quot;confidence&quot;: 1.0_x000a_}"/>
    <s v="SELECT customers.name, orders.order_id FROM customers JOIN orders ON customers.customer_id = orders.customer_id;"/>
    <s v="The query uses an INNER JOIN to combine rows from the 'customers' and 'orders' tables based on a matching 'customer_id' column found in both tables, returning only the records where a relationship exists."/>
    <x v="2"/>
    <m/>
    <n v="0"/>
    <n v="0"/>
    <n v="0"/>
    <b v="1"/>
    <s v="main_001_basic_agent"/>
    <s v=""/>
    <n v="22"/>
    <s v="Coding"/>
    <s v="easy"/>
    <s v="SQL explanation"/>
  </r>
  <r>
    <n v="1780634854354"/>
    <s v="main_001"/>
    <n v="1"/>
    <x v="1"/>
    <d v="2026-06-05T07:47:34"/>
    <s v="Explain an SQL query that joins customers and orders_x000a_"/>
    <s v="{_x000a_  &quot;task_id&quot;: &quot;1&quot;,_x000a_  &quot;answer&quot;: &quo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quot;,_x000a_  &quot;execution_summary&quot;: &quot;The process involved identifying the common key, structuring the SELECT, FROM, and JOIN clauses, and defining the relationship via the ON clause. A complete example was provided to illustrate the result set generation, where rows from both tables are matched based on the shared ID.&quot;,_x000a_  &quot;confidence&quot;: 1.0_x000a_}"/>
    <s v="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_x000a__x000a_Example code:_x000a_SELECT customers.name, orders.order_date_x000a_FROM customers_x000a_INNER JOIN orders ON customers.customer_id = orders.customer_id;"/>
    <s v="The process involved identifying the common key, structuring the SELECT, FROM, and JOIN clauses, and defining the relationship via the ON clause. A complete example was provided to illustrate the result set generation, where rows from both tables are matched based on the shared ID."/>
    <x v="2"/>
    <m/>
    <n v="0"/>
    <n v="0"/>
    <n v="0"/>
    <b v="1"/>
    <s v="main_001_planner_executor"/>
    <s v=""/>
    <n v="22"/>
    <s v="Coding"/>
    <s v="easy"/>
    <s v="SQL explanation"/>
  </r>
  <r>
    <n v="1780634871339"/>
    <s v="main_001"/>
    <n v="1"/>
    <x v="2"/>
    <d v="2026-06-05T07:47:51"/>
    <s v="Explain an SQL query that joins customers and orders_x000a_"/>
    <s v="{_x000a_  &quot;task_id&quot;: &quot;1&quot;,_x000a_  &quot;quality_score&quot;: 1.0,_x000a_  &quot;review_notes&quot;: &quot;The response is accurate, technically sound, and provides a clear pedagogical breakdown of the SQL join mechanism. It correctly identifies the schema, the syntax, and the logical implications of using an INNER JOIN.&quot;,_x000a_  &quot;final_answer&quot;: &quot;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quot;,_x000a_  &quot;confidence&quot;: 1.0_x000a_}"/>
    <s v="To perform an INNER JOIN between a 'customers' table and an 'orders' table, you link them using a shared key, typically 'customer_id'. _x000a__x000a_Query Example:_x000a_SELECT customers.name, orders.order_id _x000a_FROM customers _x000a_INNER JOIN orders ON customers.customer_id = orders.customer_id;_x000a__x000a_1. Structure: 'customers' contains (customer_id, name, email); 'orders' contains (order_id, customer_id, amount)._x000a_2. SELECT: This clause identifies the specific columns (e.g., customer name and order ID) to display in the result set._x000a_3. JOIN/ON: The 'INNER JOIN' keyword combines the tables, and the 'ON' clause acts as the filter, matching rows where the customer_id in the 'customers' table equals the customer_id in the 'orders' table._x000a_4. Output: The result provides a unified list where each row represents a customer paired with their specific order, excluding customers who have not placed any orders."/>
    <s v="The response is accurate, technically sound, and provides a clear pedagogical breakdown of the SQL join mechanism. It correctly identifies the schema, the syntax, and the logical implications of using an INNER JOIN."/>
    <x v="2"/>
    <n v="1"/>
    <n v="0"/>
    <n v="0"/>
    <n v="0"/>
    <b v="1"/>
    <s v="main_001_planner_executor_reviewer"/>
    <s v="strict_v1"/>
    <n v="22"/>
    <s v="Coding"/>
    <s v="easy"/>
    <s v="SQL explanation"/>
  </r>
  <r>
    <n v="1780635142656"/>
    <s v="main_001"/>
    <n v="1"/>
    <x v="0"/>
    <d v="2026-06-05T07:52:23"/>
    <s v="Review a Python function and suggest improvements_x000a_"/>
    <s v="{_x000a_  &quot;task_id&quot;: &quot;1&quot;,_x000a_  &quot;answer&quot;: &quot;To provide specific improvements, please provide the Python code you would like me to review. Once provided, I will focus on optimizing time/space complexity, enhancing readability (PEP 8), implementing type hinting, and adding robust error handling.&quot;,_x000a_  &quot;execution_summary&quot;: &quot;Awaiting user input for the target Python code to initiate the review process.&quot;,_x000a_  &quot;confidence&quot;: 1.0_x000a_}"/>
    <s v="To provide specific improvements, please provide the Python code you would like me to review. Once provided, I will focus on optimizing time/space complexity, enhancing readability (PEP 8), implementing type hinting, and adding robust error handling."/>
    <s v="Awaiting user input for the target Python code to initiate the review process."/>
    <x v="2"/>
    <m/>
    <n v="0"/>
    <n v="0"/>
    <n v="0"/>
    <b v="1"/>
    <s v="main_001_basic_agent"/>
    <s v=""/>
    <n v="23"/>
    <s v="Coding"/>
    <s v="medium"/>
    <s v="Code review"/>
  </r>
  <r>
    <n v="1780635153411"/>
    <s v="main_001"/>
    <n v="1"/>
    <x v="1"/>
    <d v="2026-06-05T07:52:33"/>
    <s v="Review a Python function and suggest improvements_x000a_"/>
    <s v="{_x000a_  &quot;task_id&quot;: &quot;1&quot;,_x000a_  &quot;answer&quot;: &quot;Please provide the Python function you would like me to review. Once you share the code, I will proceed with the analysis, identify optimization opportunities, ensure PEP 8 compliance, and provide a refactored version with a detailed explanation of the changes.&quot;,_x000a_  &quot;execution_summary&quot;: &quot;Initialized the execution process and issued a request for the target Python function to begin the analysis and optimization workflow.&quot;,_x000a_  &quot;confidence&quot;: 1.0_x000a_}"/>
    <s v="Please provide the Python function you would like me to review. Once you share the code, I will proceed with the analysis, identify optimization opportunities, ensure PEP 8 compliance, and provide a refactored version with a detailed explanation of the changes."/>
    <s v="Initialized the execution process and issued a request for the target Python function to begin the analysis and optimization workflow."/>
    <x v="2"/>
    <m/>
    <n v="0"/>
    <n v="0"/>
    <n v="0"/>
    <b v="1"/>
    <s v="main_001_planner_executor"/>
    <s v=""/>
    <n v="23"/>
    <s v="Coding"/>
    <s v="medium"/>
    <s v="Code review"/>
  </r>
  <r>
    <n v="1780635164675"/>
    <s v="main_001"/>
    <n v="1"/>
    <x v="2"/>
    <d v="2026-06-05T07:52:45"/>
    <s v="Review a Python function and suggest improvements_x000a_"/>
    <s v="{_x000a_  &quot;task_id&quot;: &quot;1&quot;,_x000a_  &quot;quality_score&quot;: 0.95,_x000a_  &quot;review_notes&quot;: &quo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quot;,_x000a_  &quot;final_answer&quot;: &quot;The response correctly identifies the prerequisite condition required to execute the task. It maintains a professional tone and clearly communicates the next steps for the user.&quot;,_x000a_  &quot;confidence&quot;: 1.0_x000a_}"/>
    <s v="The response correctly identifies the prerequisite condition required to execute the task. It maintains a professional tone and clearly communicates the next steps for the user."/>
    <s v="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x v="2"/>
    <n v="0.95"/>
    <n v="0"/>
    <n v="0"/>
    <n v="0"/>
    <b v="1"/>
    <s v="main_001_planner_executor_reviewer"/>
    <s v="strict_v1"/>
    <n v="23"/>
    <s v="Coding"/>
    <s v="medium"/>
    <s v="Code review"/>
  </r>
  <r>
    <n v="1780635988192"/>
    <s v="main_001"/>
    <n v="1"/>
    <x v="0"/>
    <d v="2026-06-05T08:06:28"/>
    <s v="Generate a Gemini API integration plan for n8n_x000a_"/>
    <s v="{_x000a_  &quot;task_id&quot;: &quot;1&quot;,_x000a_  &quot;answer&quot;: &quo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quot;,_x000a_  &quot;execution_summary&quot;: &quot;Created a high-level integration roadmap for connecting Google Gemini to n8n workflows, focusing on authentication, node configuration, and workflow automation.&quot;,_x000a_  &quot;confidence&quot;: 1.0_x000a_}"/>
    <s v="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s v="Created a high-level integration roadmap for connecting Google Gemini to n8n workflows, focusing on authentication, node configuration, and workflow automation."/>
    <x v="2"/>
    <m/>
    <n v="0"/>
    <n v="0"/>
    <n v="0"/>
    <b v="1"/>
    <s v="main_001_basic_agent"/>
    <s v=""/>
    <n v="24"/>
    <s v="Coding"/>
    <s v="medium"/>
    <s v="Integration plan"/>
  </r>
  <r>
    <n v="1780636001823"/>
    <s v="main_001"/>
    <n v="1"/>
    <x v="1"/>
    <d v="2026-06-05T08:06:42"/>
    <s v="Generate a Gemini API integration plan for n8n_x000a_"/>
    <s v="{_x000a_  &quot;task_id&quot;: &quot;1&quot;,_x000a_  &quot;answer&quot;: &quo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quot;,_x000a_  &quot;execution_summary&quot;: &quot;Successfully authenticated the Gemini API, built a functional pipeline from webhook trigger to AI response, and verified JSON output parsing.&quot;,_x000a_  &quot;confidence&quot;: 0.95_x000a_}"/>
    <s v="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s v="Successfully authenticated the Gemini API, built a functional pipeline from webhook trigger to AI response, and verified JSON output parsing."/>
    <x v="0"/>
    <m/>
    <n v="0"/>
    <n v="0"/>
    <n v="0"/>
    <b v="1"/>
    <s v="main_001_planner_executor"/>
    <s v=""/>
    <n v="24"/>
    <s v="Coding"/>
    <s v="medium"/>
    <s v="Integration plan"/>
  </r>
  <r>
    <n v="1780636024992"/>
    <s v="main_001"/>
    <n v="1"/>
    <x v="2"/>
    <d v="2026-06-05T08:07:05"/>
    <s v="Generate a Gemini API integration plan for n8n_x000a_"/>
    <s v="{_x000a_  &quot;task_id&quot;: &quot;1&quot;,_x000a_  &quot;quality_score&quot;: 0.4,_x000a_  &quot;review_notes&quot;: &quo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quot;,_x000a_  &quot;final_answer&quot;: &quo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quot;,_x000a_  &quot;confidence&quot;: 0.9_x000a_}"/>
    <s v="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s v="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x v="4"/>
    <n v="0.4"/>
    <n v="0"/>
    <n v="0"/>
    <n v="0"/>
    <b v="1"/>
    <s v="main_001_planner_executor_reviewer"/>
    <s v="strict_v1"/>
    <n v="24"/>
    <s v="Coding"/>
    <s v="medium"/>
    <s v="Integration plan"/>
  </r>
  <r>
    <n v="1780636134963"/>
    <s v="main_001"/>
    <n v="1"/>
    <x v="0"/>
    <d v="2026-06-05T08:08:55"/>
    <s v="Create pseudocode for a planner executor reviewer agent_x000a_"/>
    <s v="{_x000a_  &quot;task_id&quot;: &quot;1&quot;,_x000a_  &quot;answer&quot;: &quot;function AgentLoop(task):\n  plan = Planner(task)\n  while not goal_achieved:\n    action = Executor(plan)\n    result = Environment.execute(action)\n    feedback = Reviewer(result, plan)\n    if feedback.is_rejected:\n      plan = Planner(task, feedback)\n    else:\n      plan.update(result)&quot;,_x000a_  &quot;execution_summary&quot;: &quot;Defined a cyclic agent architecture consisting of a Planner (strategy generation), Executor (action mapping), and Reviewer (validation/correction), maintaining state via feedback loops.&quot;,_x000a_  &quot;confidence&quot;: 1.0_x000a_}"/>
    <s v="function AgentLoop(task):_x000a_  plan = Planner(task)_x000a_  while not goal_achieved:_x000a_    action = Executor(plan)_x000a_    result = Environment.execute(action)_x000a_    feedback = Reviewer(result, plan)_x000a_    if feedback.is_rejected:_x000a_      plan = Planner(task, feedback)_x000a_    else:_x000a_      plan.update(result)"/>
    <s v="Defined a cyclic agent architecture consisting of a Planner (strategy generation), Executor (action mapping), and Reviewer (validation/correction), maintaining state via feedback loops."/>
    <x v="2"/>
    <m/>
    <n v="0"/>
    <n v="0"/>
    <n v="0"/>
    <b v="1"/>
    <s v="main_001_basic_agent"/>
    <s v=""/>
    <n v="25"/>
    <s v="Coding"/>
    <s v="medium"/>
    <s v="Pseudocode"/>
  </r>
  <r>
    <n v="1780636146258"/>
    <s v="main_001"/>
    <n v="1"/>
    <x v="1"/>
    <d v="2026-06-05T08:09:06"/>
    <s v="Create pseudocode for a planner executor reviewer agent_x000a_"/>
    <s v="{_x000a_  &quot;task_id&quot;: &quot;1&quot;,_x000a_  &quot;answer&quot;: &quot;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quot;Failure: Max iterations reached.\&quot;\n\nmodule Planner:\n    function generate_plan(prompt, objective): ...\n    function refine_plan(old_steps, feedback): ...\n\nmodule Executor:\n    function execute(steps): ...\n\nmodule Reviewer:\n    function evaluate(output, objective): returns {is_successful, feedback}&quot;,_x000a_  &quot;execution_summary&quot;: &quot;Defined the agent architecture using a modular approach with a control loop that enables iterative refinement. The pseudocode captures the interaction between the Planner (sequence generation), Executor (action performance), and Reviewer (validation).&quot;,_x000a_  &quot;confidence&quot;: 1.0_x000a_}"/>
    <s v="function AgentSystem(prompt, objective):_x000a_    steps = Planner.generate_plan(prompt, objective)_x000a_    max_attempts = 3_x000a_    attempt = 0_x000a_    _x000a_    while attempt &lt; max_attempts:_x000a_        execution_result = Executor.execute(steps)_x000a_        evaluation = Reviewer.evaluate(execution_result, objective)_x000a_        _x000a_        if evaluation.is_successful:_x000a_            return execution_result_x000a_        else:_x000a_            steps = Planner.refine_plan(steps, evaluation.feedback)_x000a_            attempt += 1_x000a_            _x000a_    return &quot;Failure: Max iterations reached.&quot;_x000a__x000a_module Planner:_x000a_    function generate_plan(prompt, objective): ..._x000a_    function refine_plan(old_steps, feedback): ..._x000a__x000a_module Executor:_x000a_    function execute(steps): ..._x000a__x000a_module Reviewer:_x000a_    function evaluate(output, objective): returns {is_successful, feedback}"/>
    <s v="Defined the agent architecture using a modular approach with a control loop that enables iterative refinement. The pseudocode captures the interaction between the Planner (sequence generation), Executor (action performance), and Reviewer (validation)."/>
    <x v="2"/>
    <m/>
    <n v="0"/>
    <n v="0"/>
    <n v="0"/>
    <b v="1"/>
    <s v="main_001_planner_executor"/>
    <s v=""/>
    <n v="25"/>
    <s v="Coding"/>
    <s v="medium"/>
    <s v="Pseudocode"/>
  </r>
  <r>
    <n v="1780636167836"/>
    <s v="main_001"/>
    <n v="1"/>
    <x v="2"/>
    <d v="2026-06-05T08:09:28"/>
    <s v="Create pseudocode for a planner executor reviewer agent_x000a_"/>
    <s v="{_x000a_  &quot;task_id&quot;: &quot;1&quot;,_x000a_  &quot;quality_score&quot;: 0.95,_x000a_  &quot;review_notes&quot;: &quo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quot;,_x000a_  &quot;final_answer&quot;: &quot;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quot;,_x000a_  &quot;confidence&quot;: 1.0_x000a_}"/>
    <s v="class Agent:_x000a_    def run(objective):_x000a_        plan = Planner.create(objective)_x000a_        is_finished = False_x000a_        while not is_finished:_x000a_            for step in plan:_x000a_                output = Executor.execute(step)_x000a_                feedback = Reviewer.evaluate(output, objective)_x000a_                if feedback.needs_replan:_x000a_                    plan = Planner.refine(plan, feedback)_x000a_                    break_x000a_                if feedback.is_complete:_x000a_                    is_finished = True_x000a__x000a_module Planner:_x000a_    def create(objective): return decompose(objective)_x000a_    def refine(plan, feedback): return update_plan(plan, feedback)_x000a__x000a_module Executor:_x000a_    def execute(step): return run_tool(step)_x000a__x000a_module Reviewer:_x000a_    def evaluate(output, objective): return validate(output, objective)"/>
    <s v="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x v="2"/>
    <n v="0.95"/>
    <n v="0"/>
    <n v="0"/>
    <n v="0"/>
    <b v="1"/>
    <s v="main_001_planner_executor_reviewer"/>
    <s v="strict_v1"/>
    <n v="25"/>
    <s v="Coding"/>
    <s v="medium"/>
    <s v="Pseudocode"/>
  </r>
  <r>
    <n v="1780637184549"/>
    <s v="main_001"/>
    <n v="1"/>
    <x v="0"/>
    <d v="2026-06-05T08:26:25"/>
    <s v="Debug a JavaScript function with a logical error_x000a_"/>
    <s v="{_x000a_  &quot;task_id&quot;: &quot;1&quot;,_x000a_  &quot;answer&quot;: &quot;The logical error often involves incorrect boolean comparisons or scope issues. Example: 'if (x = 5)' should be 'if (x === 5)'.&quot;,_x000a_  &quot;execution_summary&quot;: &quot;Identified common pitfalls in conditional logic and operator precedence in JavaScript functions.&quot;,_x000a_  &quot;confidence&quot;: 1.0_x000a_}"/>
    <s v="The logical error often involves incorrect boolean comparisons or scope issues. Example: 'if (x = 5)' should be 'if (x === 5)'."/>
    <s v="Identified common pitfalls in conditional logic and operator precedence in JavaScript functions."/>
    <x v="2"/>
    <m/>
    <n v="0"/>
    <n v="0"/>
    <n v="0"/>
    <b v="1"/>
    <s v="main_001_basic_agent"/>
    <s v=""/>
    <n v="26"/>
    <s v="Coding"/>
    <s v="hard"/>
    <s v="Debugging report"/>
  </r>
  <r>
    <n v="1780637204715"/>
    <s v="main_001"/>
    <n v="1"/>
    <x v="1"/>
    <d v="2026-06-05T08:26:45"/>
    <s v="Debug a JavaScript function with a logical error_x000a_"/>
    <s v="{_x000a_  &quot;task_id&quot;: &quot;1&quot;,_x000a_  &quot;answer&quot;: &quot;function findFirstPositive(arr) {\n  for (let i = 0; i &lt; arr.length; i++) {\n    if (arr[i] &gt; 0) {\n      return arr[i];\n    }\n  }\n  return null;\n}&quot;,_x000a_  &quot;execution_summary&quot;: &quo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quot;,_x000a_  &quot;confidence&quot;: 1.0_x000a_}"/>
    <s v="function findFirstPositive(arr) {_x000a_  for (let i = 0; i &lt; arr.length; i++) {_x000a_    if (arr[i] &gt; 0) {_x000a_      return arr[i];_x000a_    }_x000a_  }_x000a_  return null;_x000a_}"/>
    <s v="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x v="2"/>
    <m/>
    <n v="0"/>
    <n v="0"/>
    <n v="0"/>
    <b v="1"/>
    <s v="main_001_planner_executor"/>
    <s v=""/>
    <n v="26"/>
    <s v="Coding"/>
    <s v="hard"/>
    <s v="Debugging report"/>
  </r>
  <r>
    <n v="1780637219139"/>
    <s v="main_001"/>
    <n v="1"/>
    <x v="2"/>
    <d v="2026-06-05T08:26:59"/>
    <s v="Debug a JavaScript function with a logical error_x000a_"/>
    <s v="{_x000a_  &quot;task_id&quot;: &quot;1&quot;,_x000a_  &quot;quality_score&quot;: 0.95,_x000a_  &quot;review_notes&quot;: &quo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quot;,_x000a_  &quot;final_answer&quot;: &quo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quot;,_x000a_  &quot;confidence&quot;: 1.0_x000a_}"/>
    <s v="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s v="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x v="2"/>
    <n v="0.95"/>
    <n v="0"/>
    <n v="0"/>
    <n v="0"/>
    <b v="1"/>
    <s v="main_001_planner_executor_reviewer"/>
    <s v="strict_v1"/>
    <n v="26"/>
    <s v="Coding"/>
    <s v="hard"/>
    <s v="Debugging report"/>
  </r>
  <r>
    <n v="1780637310429"/>
    <s v="main_001"/>
    <n v="1"/>
    <x v="0"/>
    <d v="2026-06-05T08:28:30"/>
    <s v="Design a database schema for experiment logging_x000a_"/>
    <s v="{_x000a_  &quot;task_id&quot;: &quot;1&quot;,_x000a_  &quot;answer&quot;: &quot;{\&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quot;,_x000a_  &quot;execution_summary&quot;: &quot;Designed a normalized schema featuring four primary tables: experiments (grouping), runs (execution instances), metrics (time-series logging), and artifacts (file references). Used JSONB for parameter flexibility and UUIDs for primary keys to support distributed logging.&quot;,_x000a_  &quot;confidence&quot;: 1.0_x000a_}"/>
    <s v="{&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
    <s v="Designed a normalized schema featuring four primary tables: experiments (grouping), runs (execution instances), metrics (time-series logging), and artifacts (file references). Used JSONB for parameter flexibility and UUIDs for primary keys to support distributed logging."/>
    <x v="2"/>
    <m/>
    <n v="0"/>
    <n v="0"/>
    <n v="0"/>
    <b v="1"/>
    <s v="main_001_basic_agent"/>
    <s v=""/>
    <n v="27"/>
    <s v="Coding"/>
    <s v="hard"/>
    <s v="Database schema"/>
  </r>
  <r>
    <n v="1780637334917"/>
    <s v="main_001"/>
    <n v="1"/>
    <x v="1"/>
    <d v="2026-06-05T08:28:55"/>
    <s v="Design a database schema for experiment logging_x000a_"/>
    <s v="{_x000a_  &quot;task_id&quot;: &quot;1&quot;,_x000a_  &quot;answer&quot;: &quot;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quot;,_x000a_  &quot;execution_summary&quot;: &quo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quot;,_x000a_  &quot;confidence&quot;: 1.0_x000a_}"/>
    <s v="CREATE TABLE experiments (experiment_id UUID PRIMARY KEY, name TEXT NOT NULL, description TEXT, created_at TIMESTAMP WITH TIME ZONE DEFAULT CURRENT_TIMESTAMP);_x000a__x000a_CREATE TABLE runs (run_id UUID PRIMARY KEY, experiment_id UUID REFERENCES experiments(experiment_id), status TEXT, start_time TIMESTAMP WITH TIME ZONE, end_time TIMESTAMP WITH TIME ZONE, config JSONB);_x000a__x000a_CREATE TABLE parameters (param_id UUID PRIMARY KEY, run_id UUID REFERENCES runs(run_id), key TEXT NOT NULL, value TEXT);_x000a__x000a_CREATE TABLE metrics (metric_id UUID PRIMARY KEY, run_id UUID REFERENCES runs(run_id), name TEXT NOT NULL, value NUMERIC, timestamp TIMESTAMP WITH TIME ZONE DEFAULT CURRENT_TIMESTAMP);_x000a__x000a_CREATE INDEX idx_exp_name ON experiments(name);_x000a_CREATE INDEX idx_run_status ON runs(status);_x000a_CREATE INDEX idx_metrics_run_time ON metrics(run_id, timestamp);"/>
    <s v="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x v="2"/>
    <m/>
    <n v="0"/>
    <n v="0"/>
    <n v="0"/>
    <b v="1"/>
    <s v="main_001_planner_executor"/>
    <s v=""/>
    <n v="27"/>
    <s v="Coding"/>
    <s v="hard"/>
    <s v="Database schema"/>
  </r>
  <r>
    <n v="1780637350432"/>
    <s v="main_001"/>
    <n v="1"/>
    <x v="2"/>
    <d v="2026-06-05T08:29:10"/>
    <s v="Design a database schema for experiment logging_x000a_"/>
    <s v="{_x000a_  &quot;task_id&quot;: &quot;1&quot;,_x000a_  &quot;quality_score&quot;: 0.95,_x000a_  &quot;review_notes&quot;: &quo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quot;,_x000a_  &quot;final_answer&quot;: &quo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quot;,_x000a_  &quot;confidence&quot;: 1.0_x000a_}"/>
    <s v="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s v="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x v="2"/>
    <n v="0.95"/>
    <n v="0"/>
    <n v="0"/>
    <n v="0"/>
    <b v="1"/>
    <s v="main_001_planner_executor_reviewer"/>
    <s v="strict_v1"/>
    <n v="27"/>
    <s v="Coding"/>
    <s v="hard"/>
    <s v="Database schema"/>
  </r>
  <r>
    <n v="1780637766559"/>
    <s v="main_001"/>
    <n v="1"/>
    <x v="0"/>
    <d v="2026-06-05T08:36:07"/>
    <s v="Create test cases for a REST API endpoint_x000a_"/>
    <s v="{_x000a_  &quot;task_id&quot;: &quot;1&quot;,_x000a_  &quot;answer&quot;: &quot;Test cases for GET /users/{id}: 1. Valid ID: Returns 200 OK with correct user data. 2. Non-existent ID: Returns 404 Not Found. 3. Invalid format (e.g., string instead of int): Returns 400 Bad Request. 4. Unauthorized access: Returns 401 Unauthorized. 5. Rate limiting: Returns 429 Too Many Requests.&quot;,_x000a_  &quot;execution_summary&quot;: &quot;Defined comprehensive functional and negative test cases for a standard REST user retrieval endpoint.&quot;,_x000a_  &quot;confidence&quot;: 1.0_x000a_}"/>
    <s v="Test cases for GET /users/{id}: 1. Valid ID: Returns 200 OK with correct user data. 2. Non-existent ID: Returns 404 Not Found. 3. Invalid format (e.g., string instead of int): Returns 400 Bad Request. 4. Unauthorized access: Returns 401 Unauthorized. 5. Rate limiting: Returns 429 Too Many Requests."/>
    <s v="Defined comprehensive functional and negative test cases for a standard REST user retrieval endpoint."/>
    <x v="2"/>
    <m/>
    <n v="0"/>
    <n v="0"/>
    <n v="0"/>
    <b v="1"/>
    <s v="main_001_basic_agent"/>
    <s v=""/>
    <n v="28"/>
    <s v="Coding"/>
    <s v="hard"/>
    <s v="Test cases"/>
  </r>
  <r>
    <n v="1780637782144"/>
    <s v="main_001"/>
    <n v="1"/>
    <x v="1"/>
    <d v="2026-06-05T08:36:22"/>
    <s v="Create test cases for a REST API endpoint_x000a_"/>
    <s v="{_x000a_  &quot;task_id&quot;: &quot;1&quot;,_x000a_  &quot;answer&quot;: &quot;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quot;,_x000a_  &quot;execution_summary&quot;: &quot;Defined a comprehensive suite of test cases categorized by functional, security, and performance criteria for a representative REST API endpoint.&quot;,_x000a_  &quot;confidence&quot;: 1.0_x000a_}"/>
    <s v="Test Suite for REST API Endpoint: POST /api/v1/users_x000a__x000a_1. Positive Cases:_x000a_- Create user with all required fields (201 Created)._x000a_- Create user with optional fields included (201 Created)._x000a__x000a_2. Negative Cases:_x000a_- Unauthorized access (no token) (401 Unauthorized)._x000a_- Missing mandatory fields (e.g., email) (400 Bad Request)._x000a_- Malformed JSON payload (400 Bad Request)._x000a__x000a_3. Boundary Value Cases:_x000a_- Username at minimum length (e.g., 1 char) and maximum length (e.g., 50 chars)._x000a_- Empty payload body (400 Bad Request)._x000a_- Extremely large input for fields (413 Payload Too Large)._x000a__x000a_4. Error Handling Cases:_x000a_- Resource conflict (e.g., duplicate email) (409 Conflict)._x000a_- Method not allowed (e.g., sending PUT to this endpoint) (405 Method Not Allowed)._x000a_- Simulated database failure (500 Internal Server Error)._x000a__x000a_5. Schema/Data Type Validation:_x000a_- Field type mismatch (e.g., integer in 'email' field) (422 Unprocessable Entity)._x000a_- Invalid format (e.g., invalid email syntax) (422 Unprocessable Entity)._x000a__x000a_6. Performance/Security:_x000a_- Response time under 200ms threshold._x000a_- Rate limiting check (send 100 requests in 1 sec) (429 Too Many Requests)._x000a_- SQL injection/XSS payload detection in input strings (400 Bad Request)."/>
    <s v="Defined a comprehensive suite of test cases categorized by functional, security, and performance criteria for a representative REST API endpoint."/>
    <x v="2"/>
    <m/>
    <n v="0"/>
    <n v="0"/>
    <n v="0"/>
    <b v="1"/>
    <s v="main_001_planner_executor"/>
    <s v=""/>
    <n v="28"/>
    <s v="Coding"/>
    <s v="hard"/>
    <s v="Test cases"/>
  </r>
  <r>
    <n v="1780637799178"/>
    <s v="main_001"/>
    <n v="1"/>
    <x v="2"/>
    <d v="2026-06-05T08:36:39"/>
    <s v="Create test cases for a REST API endpoint_x000a_"/>
    <s v="{_x000a_  &quot;task_id&quot;: &quot;1&quot;,_x000a_  &quot;quality_score&quot;: 0.95,_x000a_  &quot;review_notes&quot;: &quo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quot;,_x000a_  &quot;final_answer&quot;: &quot;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quot;,_x000a_  &quot;confidence&quot;: 1.0_x000a_}"/>
    <s v="Comprehensive Test Suite for REST API Endpoint (Example: POST /users):_x000a__x000a_1. Positive Cases:_x000a_   - Create user with valid payload (201 Created)._x000a_   - Create user with minimal required fields only (201 Created)._x000a_   - Validate response body matches schema._x000a__x000a_2. Negative Cases:_x000a_   - Missing mandatory fields (400 Bad Request)._x000a_   - Invalid data types (e.g., string in age field) (400 Bad Request)._x000a_   - Payload exceeds size limit (413 Payload Too Large)._x000a_   - Duplicate unique field values (409 Conflict)._x000a__x000a_3. Error Handling Cases:_x000a_   - Simulate database connection failure (503 Service Unavailable)._x000a_   - Trigger unexpected runtime exceptions (500 Internal Server Error)._x000a__x000a_4. Security/Authorization Cases:_x000a_   - Request without Bearer token (401 Unauthorized)._x000a_   - Request with expired/invalid token (401 Unauthorized)._x000a_   - User with insufficient permissions/scope (403 Forbidden)._x000a_   - Test rate limiting by exceeding quota (429 Too Many Requests)._x000a__x000a_5. Verification:_x000a_   - Check 'Content-Type' header is 'application/json'._x000a_   - Verify database state change via subsequent GET request or DB query."/>
    <s v="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x v="2"/>
    <n v="0.95"/>
    <n v="0"/>
    <n v="0"/>
    <n v="0"/>
    <b v="1"/>
    <s v="main_001_planner_executor_reviewer"/>
    <s v="strict_v1"/>
    <n v="28"/>
    <s v="Coding"/>
    <s v="hard"/>
    <s v="Test cases"/>
  </r>
  <r>
    <n v="1780637843444"/>
    <s v="main_001"/>
    <n v="1"/>
    <x v="0"/>
    <d v="2026-06-05T08:37:23"/>
    <s v="Explain how to measure execution time and latency in n8n_x000a_"/>
    <s v="{_x000a_  &quot;task_id&quot;: &quot;1&quot;,_x000a_  &quot;answer&quot;: &quo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quot;,_x000a_  &quot;execution_summary&quot;: &quot;Explained two methods: using internal metadata/nodes for high-level duration and using JavaScript timestamps within Function nodes for precise latency measurement.&quot;,_x000a_  &quot;confidence&quot;: 1.0_x000a_}"/>
    <s v="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s v="Explained two methods: using internal metadata/nodes for high-level duration and using JavaScript timestamps within Function nodes for precise latency measurement."/>
    <x v="2"/>
    <m/>
    <n v="0"/>
    <n v="0"/>
    <n v="0"/>
    <b v="1"/>
    <s v="main_001_basic_agent"/>
    <s v=""/>
    <n v="29"/>
    <s v="Coding"/>
    <s v="hard"/>
    <s v="Implementation guide"/>
  </r>
  <r>
    <n v="1780637855951"/>
    <s v="main_001"/>
    <n v="1"/>
    <x v="1"/>
    <d v="2026-06-05T08:37:36"/>
    <s v="Explain how to measure execution time and latency in n8n_x000a_"/>
    <s v="{_x000a_  &quot;task_id&quot;: &quot;1&quot;,_x000a_  &quot;answer&quot;: &quot;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quot;,_x000a_  &quot;execution_summary&quot;: &quot;Successfully outlined five core methods for measuring performance in n8n workflows, ranging from basic UI inspection to advanced logging patterns.&quot;,_x000a_  &quot;confidence&quot;: 1.0_x000a_}"/>
    <s v="To measure execution time and latency in n8n, you can utilize the following methods:_x000a__x000a_1. Execution Metadata: n8n automatically tracks the total duration of a workflow execution, which is visible in the 'Executions' tab of the UI. This provides a high-level view of performance._x000a__x000a_2. Code Node Benchmarking: Insert a 'Code' node at the start of a segment and save the timestamp (const start = Date.now()). Insert another at the end and calculate the difference (Date.now() - start). This isolates the latency of specific sub-segments._x000a__x000a_3. HTTP Request Metadata: When using the 'HTTP Request' node, n8n captures response headers. You can access the 'responseMetadata' object in subsequent nodes to inspect the 'duration' or 'time' headers returned by the server, providing accurate network/server latency._x000a__x000a_4. External Monitoring: For production environments, push latency metrics to external observability platforms like Prometheus, ELK, or Datadog via the 'HTTP Request' node to track trends over time._x000a__x000a_5. Workflow Logging Pattern: Create a standard pattern where the first node captures a timestamp (e.g., {{ $now }}) and stores it in a variable. The final node calculates the delta and sends it to a logging service or database (e.g., PostgreSQL or MongoDB) for historical analysis."/>
    <s v="Successfully outlined five core methods for measuring performance in n8n workflows, ranging from basic UI inspection to advanced logging patterns."/>
    <x v="2"/>
    <m/>
    <n v="0"/>
    <n v="0"/>
    <n v="0"/>
    <b v="1"/>
    <s v="main_001_planner_executor"/>
    <s v=""/>
    <n v="29"/>
    <s v="Coding"/>
    <s v="hard"/>
    <s v="Implementation guide"/>
  </r>
  <r>
    <n v="1780637879625"/>
    <s v="main_001"/>
    <n v="1"/>
    <x v="2"/>
    <d v="2026-06-05T08:38:00"/>
    <s v="Explain how to measure execution time and latency in n8n_x000a_"/>
    <s v="{_x000a_  &quot;task_id&quot;: &quot;1&quot;,_x000a_  &quot;quality_score&quot;: 0.95,_x000a_  &quot;review_notes&quot;: &quo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quot;,_x000a_  &quot;final_answer&quot;: &quo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quot;,_x000a_  &quot;confidence&quot;: 1.0_x000a_}"/>
    <s v="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s v="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x v="2"/>
    <n v="0.95"/>
    <n v="0"/>
    <n v="0"/>
    <n v="0"/>
    <b v="1"/>
    <s v="main_001_planner_executor_reviewer"/>
    <s v="strict_v1"/>
    <n v="29"/>
    <s v="Coding"/>
    <s v="hard"/>
    <s v="Implementation guide"/>
  </r>
  <r>
    <n v="1780641143921"/>
    <s v="main_001"/>
    <n v="1"/>
    <x v="0"/>
    <d v="2026-06-05T09:32:24"/>
    <s v="Design a workflow for AI-based ticket triage in an enterprise environment_x000a_"/>
    <s v="{_x000a_  &quot;task_id&quot;: &quot;1&quot;,_x000a_  &quot;answer&quot;: &quo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quot;,_x000a_  &quot;execution_summary&quot;: &quot;Designed a 7-step enterprise ticket triage pipeline focusing on automation, intelligent routing, and continuous improvement through feedback loops.&quot;,_x000a_  &quot;confidence&quot;: 0.95_x000a_}"/>
    <s v="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s v="Designed a 7-step enterprise ticket triage pipeline focusing on automation, intelligent routing, and continuous improvement through feedback loops."/>
    <x v="0"/>
    <m/>
    <n v="0"/>
    <n v="0"/>
    <n v="0"/>
    <b v="1"/>
    <s v="main_001_basic_agent"/>
    <s v=""/>
    <n v="30"/>
    <s v="Coding"/>
    <s v="hard"/>
    <s v="Workflow design"/>
  </r>
  <r>
    <n v="1780641162554"/>
    <s v="main_001"/>
    <n v="1"/>
    <x v="1"/>
    <d v="2026-06-05T09:32:43"/>
    <s v="Design a workflow for AI-based ticket triage in an enterprise environment_x000a_"/>
    <s v="{_x000a_  &quot;task_id&quot;: &quot;1&quot;,_x000a_  &quot;answer&quot;: &quo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quot;,_x000a_  &quot;execution_summary&quot;: &quot;The workflow was designed as a modular, event-driven architecture. It integrates multi-channel ingestion, advanced NLP processing for intent/sentiment, automated routing logic, and a closed-loop refinement system to ensure continuous model accuracy improvement.&quot;,_x000a_  &quot;confidence&quot;: 0.95_x000a_}"/>
    <s v="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s v="The workflow was designed as a modular, event-driven architecture. It integrates multi-channel ingestion, advanced NLP processing for intent/sentiment, automated routing logic, and a closed-loop refinement system to ensure continuous model accuracy improvement."/>
    <x v="0"/>
    <m/>
    <n v="0"/>
    <n v="0"/>
    <n v="0"/>
    <b v="1"/>
    <s v="main_001_planner_executor"/>
    <s v=""/>
    <n v="30"/>
    <s v="Coding"/>
    <s v="hard"/>
    <s v="Workflow design"/>
  </r>
  <r>
    <n v="1780641179538"/>
    <s v="main_001"/>
    <n v="1"/>
    <x v="2"/>
    <d v="2026-06-05T09:33:00"/>
    <s v="Design a workflow for AI-based ticket triage in an enterprise environment_x000a_"/>
    <s v="{_x000a_  &quot;task_id&quot;: &quot;1&quot;,_x000a_  &quot;quality_score&quot;: 0.85,_x000a_  &quot;review_notes&quot;: &quo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quot;,_x000a_  &quot;final_answer&quot;: &quo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quot;,_x000a_  &quot;confidence&quot;: 0.95_x000a_}"/>
    <s v="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s v="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x v="0"/>
    <n v="0.85"/>
    <n v="0"/>
    <n v="0"/>
    <n v="0"/>
    <b v="1"/>
    <s v="main_001_planner_executor_reviewer"/>
    <s v="strict_v1"/>
    <n v="30"/>
    <s v="Coding"/>
    <s v="hard"/>
    <s v="Workflow desig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n v="1780574892946"/>
    <s v="main_001"/>
    <n v="1"/>
    <x v="0"/>
    <d v="2026-06-04T15:08:13"/>
    <s v="Compare OpenAI Gemini and Claude for enterprise workflow automation"/>
    <s v="{_x000a_  &quot;task_id&quot;: &quot;1&quot;,_x000a_  &quot;answer&quot;: &quo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quot;,_x000a_  &quot;execution_summary&quot;: &quo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quot;,_x000a_  &quot;confidence&quot;: 0.95_x000a_}"/>
    <s v="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s v="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n v="0.95"/>
    <m/>
    <n v="0"/>
    <n v="0"/>
    <n v="0"/>
    <b v="1"/>
    <s v="main_001_basic_agent"/>
    <s v=""/>
    <n v="1"/>
    <x v="0"/>
    <x v="0"/>
    <s v="Structured comparison"/>
  </r>
  <r>
    <n v="1780574903737"/>
    <s v="main_001"/>
    <n v="1"/>
    <x v="1"/>
    <d v="2026-06-04T15:08:24"/>
    <s v="Compare OpenAI Gemini and Claude for enterprise workflow automation"/>
    <s v="{_x000a_  &quot;task_id&quot;: &quot;1&quot;,_x000a_  &quot;answer&quot;: &quo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quot;,_x000a_  &quot;execution_summary&quot;: &quo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quot;,_x000a_  &quot;confidence&quot;: 0.95_x000a_}"/>
    <s v="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s v="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n v="0.95"/>
    <m/>
    <n v="0"/>
    <n v="0"/>
    <n v="0"/>
    <b v="1"/>
    <s v="main_001_planner_executor"/>
    <s v=""/>
    <n v="1"/>
    <x v="0"/>
    <x v="0"/>
    <s v="Structured comparison"/>
  </r>
  <r>
    <n v="1780574915175"/>
    <s v="main_001"/>
    <n v="1"/>
    <x v="2"/>
    <d v="2026-06-04T15:08:35"/>
    <s v="Compare OpenAI Gemini and Claude for enterprise workflow automation"/>
    <s v="{_x000a_  &quot;task_id&quot;: &quot;1&quot;,_x000a_  &quot;quality_score&quot;: 0.95,_x000a_  &quot;review_notes&quot;: &quo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quot;,_x000a_  &quot;final_answer&quot;: &quo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quot;,_x000a_  &quot;confidence&quot;: 0.98_x000a_}"/>
    <s v="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s v="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n v="0.98"/>
    <n v="0.95"/>
    <n v="0"/>
    <n v="0"/>
    <n v="0"/>
    <b v="1"/>
    <s v="main_001_planner_executor_reviewer"/>
    <s v="strict_v1"/>
    <n v="1"/>
    <x v="0"/>
    <x v="0"/>
    <s v="Structured comparison"/>
  </r>
  <r>
    <n v="1780575855817"/>
    <s v="main_001"/>
    <n v="1"/>
    <x v="0"/>
    <d v="2026-06-04T15:24:16"/>
    <s v="Explain the difference between TCP and UDP_x000a_"/>
    <s v="{_x000a_  &quot;task_id&quot;: &quot;1&quot;,_x000a_  &quot;answer&quot;: &quo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quot;,_x000a_  &quot;execution_summary&quot;: &quot;Provided a concise comparison highlighting the key differences in reliability, connection status, and typical use cases between TCP and UDP.&quot;,_x000a_  &quot;confidence&quot;: 1.0_x000a_}"/>
    <s v="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s v="Provided a concise comparison highlighting the key differences in reliability, connection status, and typical use cases between TCP and UDP."/>
    <n v="1"/>
    <m/>
    <n v="0"/>
    <n v="0"/>
    <n v="0"/>
    <b v="1"/>
    <s v="main_001_basic_agent"/>
    <s v=""/>
    <n v="2"/>
    <x v="0"/>
    <x v="0"/>
    <s v="Technical explanation"/>
  </r>
  <r>
    <n v="1780575867997"/>
    <s v="main_001"/>
    <n v="1"/>
    <x v="1"/>
    <d v="2026-06-04T15:24:28"/>
    <s v="Explain the difference between TCP and UDP_x000a_"/>
    <s v="{_x000a_  &quot;task_id&quot;: &quot;1&quot;,_x000a_  &quot;answer&quot;: &quo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quot;,_x000a_  &quot;execution_summary&quot;: &quot;I have defined both protocols, compared them based on reliability, order, speed, and overhead, identified common use cases, and summarized the trade-offs regarding network requirements.&quot;,_x000a_  &quot;confidence&quot;: 1.0_x000a_}"/>
    <s v="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s v="I have defined both protocols, compared them based on reliability, order, speed, and overhead, identified common use cases, and summarized the trade-offs regarding network requirements."/>
    <n v="1"/>
    <m/>
    <n v="0"/>
    <n v="0"/>
    <n v="0"/>
    <b v="1"/>
    <s v="main_001_planner_executor"/>
    <s v=""/>
    <n v="2"/>
    <x v="0"/>
    <x v="0"/>
    <s v="Technical explanation"/>
  </r>
  <r>
    <n v="1780575879320"/>
    <s v="main_001"/>
    <n v="1"/>
    <x v="2"/>
    <d v="2026-06-04T15:24:39"/>
    <s v="Explain the difference between TCP and UDP_x000a_"/>
    <s v="{_x000a_  &quot;task_id&quot;: &quot;1&quot;,_x000a_  &quot;quality_score&quot;: 1.0,_x000a_  &quot;review_notes&quot;: &quo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quot;,_x000a_  &quot;final_answer&quot;: &quo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quot;,_x000a_  &quot;confidence&quot;: 1.0_x000a_}"/>
    <s v="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s v="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n v="1"/>
    <n v="1"/>
    <n v="0"/>
    <n v="0"/>
    <n v="0"/>
    <b v="1"/>
    <s v="main_001_planner_executor_reviewer"/>
    <s v="strict_v1"/>
    <n v="2"/>
    <x v="0"/>
    <x v="0"/>
    <s v="Technical explanation"/>
  </r>
  <r>
    <n v="1780576994343"/>
    <s v="main_001"/>
    <n v="1"/>
    <x v="0"/>
    <d v="2026-06-04T15:43:14"/>
    <s v="Compare REST APIs and GraphQL APIs_x000a_"/>
    <s v="{_x000a_  &quot;task_id&quot;: &quot;1&quot;,_x000a_  &quot;answer&quot;: &quo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quot;,_x000a_  &quot;execution_summary&quot;: &quot;Compared REST and GraphQL based on architecture, data fetching efficiency, and schema definition.&quot;,_x000a_  &quot;confidence&quot;: 1.0_x000a_}"/>
    <s v="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s v="Compared REST and GraphQL based on architecture, data fetching efficiency, and schema definition."/>
    <n v="1"/>
    <m/>
    <n v="0"/>
    <n v="0"/>
    <n v="0"/>
    <b v="1"/>
    <s v="main_001_basic_agent"/>
    <s v=""/>
    <n v="3"/>
    <x v="0"/>
    <x v="0"/>
    <s v="Comparison report"/>
  </r>
  <r>
    <n v="1780577003965"/>
    <s v="main_001"/>
    <n v="1"/>
    <x v="1"/>
    <d v="2026-06-04T15:43:24"/>
    <s v="Compare REST APIs and GraphQL APIs_x000a_"/>
    <s v="{_x000a_  &quot;task_id&quot;: &quot;1&quot;,_x000a_  &quot;answer&quot;: &quo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quot;,_x000a_  &quot;execution_summary&quot;: &quot;Executed all steps: defined architectures for both APIs, compared key operational metrics, summarized pros/cons, and provided a practical selection framework.&quot;,_x000a_  &quot;confidence&quot;: 1.0_x000a_}"/>
    <s v="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_x000a__x000a_Key differences include:_x000a_- Data Fetching: REST often suffers from over-fetching (getting more data than needed) or under-fetching (requiring multiple requests), while GraphQL solves this with precise data selection._x000a_- Versioning: REST typically uses URI versioning (v1/v2), whereas GraphQL promotes schema evolution with deprecated fields._x000a_- Performance: REST benefits from standard HTTP caching mechanisms. GraphQL requires more complex caching strategies due to its single-endpoint POST nature._x000a__x000a_Pros/Cons:_x000a_- REST Pros: Simple to implement, mature tooling, excellent cacheability. Cons: Inflexible payloads, potential request chaining._x000a_- GraphQL Pros: High flexibility, strong typing, reduces network traffic. Cons: Complexity in server setup, caching difficulty, potential for malicious deep queries._x000a__x000a_Decision Framework:_x000a_- Use REST if: You need simple, resource-oriented APIs, rely heavily on HTTP caching, or are building public APIs with low complexity._x000a_- Use GraphQL if: You have complex data graphs with relationships, operate in bandwidth-constrained environments (mobile), or need to aggregate data from multiple microservices into one interface."/>
    <s v="Executed all steps: defined architectures for both APIs, compared key operational metrics, summarized pros/cons, and provided a practical selection framework."/>
    <n v="1"/>
    <m/>
    <n v="0"/>
    <n v="0"/>
    <n v="0"/>
    <b v="1"/>
    <s v="main_001_planner_executor"/>
    <s v=""/>
    <n v="3"/>
    <x v="0"/>
    <x v="0"/>
    <s v="Comparison report"/>
  </r>
  <r>
    <n v="1780577017923"/>
    <s v="main_001"/>
    <n v="1"/>
    <x v="2"/>
    <d v="2026-06-04T15:43:38"/>
    <s v="Compare REST APIs and GraphQL APIs_x000a_"/>
    <s v="{_x000a_  &quot;task_id&quot;: &quot;1&quot;,_x000a_  &quot;quality_score&quot;: 0.95,_x000a_  &quot;review_notes&quot;: &quo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quot;,_x000a_  &quot;final_answer&quot;: &quot;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quot;,_x000a_  &quot;confidence&quot;: 1.0_x000a_}"/>
    <s v="REST and GraphQL represent fundamentally different approaches to API design: _x000a__x000a_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_x000a__x000a_2. Data Fetching: REST often suffers from over-fetching (getting more data than needed) or under-fetching (requiring multiple round trips), whereas GraphQL allows clients to define the shape of the response, enabling precise data retrieval in a single request._x000a__x000a_3. Versioning/Schema: REST versioning is typically handled via URI paths (e.g., /v1/) or headers, which can lead to maintenance overhead. GraphQL uses a strongly typed schema; fields can be deprecated rather than versioned, providing a smoother evolution path._x000a__x000a_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_x000a__x000a_5. Use Cases: REST is ideal for public APIs where standard HTTP caching is critical and simple resource manipulation is required. GraphQL is ideal for complex, interconnected data models, mobile applications with bandwidth constraints, and fast-paced frontend development."/>
    <s v="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n v="1"/>
    <n v="0.95"/>
    <n v="0"/>
    <n v="0"/>
    <n v="0"/>
    <b v="1"/>
    <s v="main_001_planner_executor_reviewer"/>
    <s v="strict_v1"/>
    <n v="3"/>
    <x v="0"/>
    <x v="0"/>
    <s v="Comparison report"/>
  </r>
  <r>
    <n v="1780578566594"/>
    <s v="main_001"/>
    <n v="1"/>
    <x v="0"/>
    <d v="2026-06-04T16:09:27"/>
    <s v="Summarize recent trends in agentic AI automation_x000a_"/>
    <s v="{_x000a_  &quot;task_id&quot;: &quot;1&quot;,_x000a_  &quot;answer&quot;: &quo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quot;,_x000a_  &quot;execution_summary&quot;: &quot;Synthesized market trends regarding agentic workflows, multi-step reasoning, and architectural shifts toward domain-specific autonomy.&quot;,_x000a_  &quot;confidence&quot;: 0.95_x000a_}"/>
    <s v="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s v="Synthesized market trends regarding agentic workflows, multi-step reasoning, and architectural shifts toward domain-specific autonomy."/>
    <n v="0.95"/>
    <m/>
    <n v="0"/>
    <n v="0"/>
    <n v="0"/>
    <b v="1"/>
    <s v="main_001_basic_agent"/>
    <s v=""/>
    <n v="4"/>
    <x v="0"/>
    <x v="1"/>
    <s v="Executive summary"/>
  </r>
  <r>
    <n v="1780578577218"/>
    <s v="main_001"/>
    <n v="1"/>
    <x v="1"/>
    <d v="2026-06-04T16:09:37"/>
    <s v="Summarize recent trends in agentic AI automation_x000a_"/>
    <s v="{_x000a_  &quot;task_id&quot;: &quot;1&quot;,_x000a_  &quot;answer&quot;: &quo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quot;,_x000a_  &quot;execution_summary&quot;: &quo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quot;,_x000a_  &quot;confidence&quot;: 0.95_x000a_}"/>
    <s v="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s v="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n v="0.95"/>
    <m/>
    <n v="0"/>
    <n v="0"/>
    <n v="0"/>
    <b v="1"/>
    <s v="main_001_planner_executor"/>
    <s v=""/>
    <n v="4"/>
    <x v="0"/>
    <x v="1"/>
    <s v="Executive summary"/>
  </r>
  <r>
    <n v="1780578589961"/>
    <s v="main_001"/>
    <n v="1"/>
    <x v="2"/>
    <d v="2026-06-04T16:09:50"/>
    <s v="Summarize recent trends in agentic AI automation_x000a_"/>
    <s v="{_x000a_  &quot;task_id&quot;: &quot;1&quot;,_x000a_  &quot;quality_score&quot;: 0.95,_x000a_  &quot;review_notes&quot;: &quo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quot;,_x000a_  &quot;final_answer&quot;: &quo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quot;,_x000a_  &quot;confidence&quot;: 1.0_x000a_}"/>
    <s v="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s v="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n v="1"/>
    <n v="0.95"/>
    <n v="0"/>
    <n v="0"/>
    <n v="0"/>
    <b v="1"/>
    <s v="main_001_planner_executor_reviewer"/>
    <s v="strict_v1"/>
    <n v="4"/>
    <x v="0"/>
    <x v="1"/>
    <s v="Executive summary"/>
  </r>
  <r>
    <n v="1780578618719"/>
    <s v="main_001"/>
    <n v="1"/>
    <x v="0"/>
    <d v="2026-06-04T16:10:19"/>
    <s v="Identify risks of using LLM agents in business processes_x000a_"/>
    <s v="{_x000a_  &quot;task_id&quot;: &quot;1&quot;,_x000a_  &quot;answer&quot;: &quo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quot;,_x000a_  &quot;execution_summary&quot;: &quot;Identified primary categories of risk associated with deploying LLM agents in enterprise environments.&quot;,_x000a_  &quot;confidence&quot;: 1.0_x000a_}"/>
    <s v="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s v="Identified primary categories of risk associated with deploying LLM agents in enterprise environments."/>
    <n v="1"/>
    <m/>
    <n v="0"/>
    <n v="0"/>
    <n v="0"/>
    <b v="1"/>
    <s v="main_001_basic_agent"/>
    <s v=""/>
    <n v="5"/>
    <x v="0"/>
    <x v="1"/>
    <s v="Risk assessment"/>
  </r>
  <r>
    <n v="1780578629992"/>
    <s v="main_001"/>
    <n v="1"/>
    <x v="1"/>
    <d v="2026-06-04T16:10:30"/>
    <s v="Identify risks of using LLM agents in business processes_x000a_"/>
    <s v="{_x000a_  &quot;task_id&quot;: &quot;1&quot;,_x000a_  &quot;answer&quot;: &quo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quot;,_x000a_  &quot;execution_summary&quot;: &quo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quot;,_x000a_  &quot;confidence&quot;: 1.0_x000a_}"/>
    <s v="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s v="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n v="1"/>
    <m/>
    <n v="0"/>
    <n v="0"/>
    <n v="0"/>
    <b v="1"/>
    <s v="main_001_planner_executor"/>
    <s v=""/>
    <n v="5"/>
    <x v="0"/>
    <x v="1"/>
    <s v="Risk assessment"/>
  </r>
  <r>
    <n v="1780578642455"/>
    <s v="main_001"/>
    <n v="1"/>
    <x v="2"/>
    <d v="2026-06-04T16:10:42"/>
    <s v="Identify risks of using LLM agents in business processes_x000a_"/>
    <s v="{_x000a_  &quot;task_id&quot;: &quot;1&quot;,_x000a_  &quot;quality_score&quot;: 0.95,_x000a_  &quot;review_notes&quot;: &quo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quot;,_x000a_  &quot;final_answer&quot;: &quo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quot;,_x000a_  &quot;confidence&quot;: 1.0_x000a_}"/>
    <s v="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s v="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n v="1"/>
    <n v="0.95"/>
    <n v="0"/>
    <n v="0"/>
    <n v="0"/>
    <b v="1"/>
    <s v="main_001_planner_executor_reviewer"/>
    <s v="strict_v1"/>
    <n v="5"/>
    <x v="0"/>
    <x v="1"/>
    <s v="Risk assessment"/>
  </r>
  <r>
    <n v="1780592134171"/>
    <s v="main_001"/>
    <n v="1"/>
    <x v="0"/>
    <d v="2026-06-04T19:55:34"/>
    <s v="Compare vector databases and relational databases_x000a_"/>
    <s v="{_x000a_  &quot;task_id&quot;: &quot;1&quot;,_x000a_  &quot;answer&quot;: &quo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quot;,_x000a_  &quot;execution_summary&quot;: &quot;Compared data structures, query paradigms, and primary use cases for both database types.&quot;,_x000a_  &quot;confidence&quot;: 1.0_x000a_}"/>
    <s v="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s v="Compared data structures, query paradigms, and primary use cases for both database types."/>
    <n v="1"/>
    <m/>
    <n v="0"/>
    <n v="0"/>
    <n v="0"/>
    <b v="1"/>
    <s v="main_001_basic_agent"/>
    <s v=""/>
    <n v="6"/>
    <x v="0"/>
    <x v="1"/>
    <s v="Structured comparison"/>
  </r>
  <r>
    <n v="1780592144663"/>
    <s v="main_001"/>
    <n v="1"/>
    <x v="1"/>
    <d v="2026-06-04T19:55:45"/>
    <s v="Compare vector databases and relational databases_x000a_"/>
    <s v="{_x000a_  &quot;task_id&quot;: &quot;1&quot;,_x000a_  &quot;answer&quot;: &quo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quot;,_x000a_  &quot;execution_summary&quot;: &quo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quot;,_x000a_  &quot;confidence&quot;: 1.0_x000a_}"/>
    <s v="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s v="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n v="1"/>
    <m/>
    <n v="0"/>
    <n v="0"/>
    <n v="0"/>
    <b v="1"/>
    <s v="main_001_planner_executor"/>
    <s v=""/>
    <n v="6"/>
    <x v="0"/>
    <x v="1"/>
    <s v="Structured comparison"/>
  </r>
  <r>
    <n v="1780592161109"/>
    <s v="main_001"/>
    <n v="1"/>
    <x v="2"/>
    <d v="2026-06-04T19:56:01"/>
    <s v="Compare vector databases and relational databases_x000a_"/>
    <s v="{_x000a_  &quot;task_id&quot;: &quot;1&quot;,_x000a_  &quot;quality_score&quot;: 0.98,_x000a_  &quot;review_notes&quot;: &quo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quot;,_x000a_  &quot;final_answer&quot;: &quot;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quot;,_x000a_  &quot;confidence&quot;: 1.0_x000a_}"/>
    <s v="Relational Databases (RDBMS) and Vector Databases represent two distinct paradigms for data management, optimized for different data types and retrieval goals._x000a__x000a_### 1. Core Architecture and Use Cases_x000a_- **RDBMS:** Built on the relational model (tables/rows/columns) with a focus on transactional integrity. They are designed for structured data where precision is paramount, such as financial transactions, inventory management, and CRUD applications._x000a_-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_x000a__x000a_### 2. Data Structure and Query Methods_x000a_- **Structure:** RDBMS handle structured, highly normalized data. Vector databases handle unstructured data represented as dense numerical vectors._x000a_- **Queries:** RDBMS rely on SQL (Structured Query Language) for exact filtering and relational joins. Vector databases use Approximate Nearest Neighbor (ANN) search to find data points based on semantic proximity (cosine similarity, Euclidean distance) rather than exact matches._x000a__x000a_### 3. Performance Trade-offs_x000a_- **Indexing:** RDBMS use B-trees or hash indexes for fast exact lookups. Vector databases utilize ANN algorithms like HNSW (Hierarchical Navigable Small World) or IVF (Inverted File Index) to balance search speed with recall accuracy._x000a_- **Compliance:** RDBMS prioritize ACID (Atomicity, Consistency, Isolation, Durability) properties. Vector databases often favor eventual consistency and high-throughput retrieval, as many AI applications prioritize speed and semantic relevance over immediate write consistency._x000a__x000a_### 4. Hybrid Approaches_x000a_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_x000a__x000a_### 5. Summary Table_x000a_| Feature | Relational Database (RDBMS) | Vector Database |_x000a_| :--- | :--- | :--- |_x000a_| **Data Type** | Structured | Unstructured (Embeddings) |_x000a_| **Search Logic** | Exact/Predicate Matching | Semantic/Similarity Search |_x000a_| **Primary Index** | B-trees | ANN (HNSW, IVF) |_x000a_| **Consistency** | Strong (ACID) | Often Eventual |_x000a_| **Best For** | Transactions, Auditing | LLMs, Recommendations, AI |"/>
    <s v="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n v="1"/>
    <n v="0.98"/>
    <n v="0"/>
    <n v="0"/>
    <n v="0"/>
    <b v="1"/>
    <s v="main_001_planner_executor_reviewer"/>
    <s v="strict_v1"/>
    <n v="6"/>
    <x v="0"/>
    <x v="1"/>
    <s v="Structured comparison"/>
  </r>
  <r>
    <n v="1780592416686"/>
    <s v="main_001"/>
    <n v="1"/>
    <x v="0"/>
    <d v="2026-06-04T20:00:17"/>
    <s v="Explain how memory improves long-running AI agents_x000a_"/>
    <s v="{_x000a_  &quot;task_id&quot;: &quot;1&quot;,_x000a_  &quot;answer&quot;: &quo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quot;,_x000a_  &quot;execution_summary&quot;: &quot;Defined the mechanics of memory in AI, specifically highlighting the transition from stateless processing to stateful, long-term context retention.&quot;,_x000a_  &quot;confidence&quot;: 1.0_x000a_}"/>
    <s v="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s v="Defined the mechanics of memory in AI, specifically highlighting the transition from stateless processing to stateful, long-term context retention."/>
    <n v="1"/>
    <m/>
    <n v="0"/>
    <n v="0"/>
    <n v="0"/>
    <b v="1"/>
    <s v="main_001_basic_agent"/>
    <s v=""/>
    <n v="7"/>
    <x v="0"/>
    <x v="1"/>
    <s v="Technical explanation"/>
  </r>
  <r>
    <n v="1780592437302"/>
    <s v="main_001"/>
    <n v="1"/>
    <x v="1"/>
    <d v="2026-06-04T20:00:37"/>
    <s v="Explain how memory improves long-running AI agents_x000a_"/>
    <s v="{_x000a_  &quot;task_id&quot;: &quot;1&quot;,_x000a_  &quot;answer&quot;: &quo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quot;,_x000a_  &quot;execution_summary&quot;: &quot;The objective was met by defining the technical progression from ephemeral context windows to persistent storage, detailing architectural components, and evaluating the utility and trade-offs of long-term memory in agent systems.&quot;,_x000a_  &quot;confidence&quot;: 1.0_x000a_}"/>
    <s v="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s v="The objective was met by defining the technical progression from ephemeral context windows to persistent storage, detailing architectural components, and evaluating the utility and trade-offs of long-term memory in agent systems."/>
    <n v="1"/>
    <m/>
    <n v="0"/>
    <n v="0"/>
    <n v="0"/>
    <b v="1"/>
    <s v="main_001_planner_executor"/>
    <s v=""/>
    <n v="7"/>
    <x v="0"/>
    <x v="1"/>
    <s v="Technical explanation"/>
  </r>
  <r>
    <n v="1780592453508"/>
    <s v="main_001"/>
    <n v="1"/>
    <x v="2"/>
    <d v="2026-06-04T20:00:54"/>
    <s v="Explain how memory improves long-running AI agents_x000a_"/>
    <s v="{_x000a_  &quot;task_id&quot;: &quot;1&quot;,_x000a_  &quot;quality_score&quot;: 0.95,_x000a_  &quot;review_notes&quot;: &quo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quot;,_x000a_  &quot;final_answer&quot;: &quo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quot;,_x000a_  &quot;confidence&quot;: 1.0_x000a_}"/>
    <s v="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s v="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n v="1"/>
    <n v="0.95"/>
    <n v="0"/>
    <n v="0"/>
    <n v="0"/>
    <b v="1"/>
    <s v="main_001_planner_executor_reviewer"/>
    <s v="strict_v1"/>
    <n v="7"/>
    <x v="0"/>
    <x v="1"/>
    <s v="Technical explanation"/>
  </r>
  <r>
    <n v="1780592534321"/>
    <s v="main_001"/>
    <n v="1"/>
    <x v="1"/>
    <d v="2026-06-04T20:02:14"/>
    <s v="Identify evaluation metrics for AI agent systems_x000a_"/>
    <s v="{_x000a_  &quot;task_id&quot;: &quot;1&quot;,_x000a_  &quot;answer&quot;: &quo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quot;,_x000a_  &quot;execution_summary&quot;: &quo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quot;,_x000a_  &quot;confidence&quot;: 1.0_x000a_}"/>
    <s v="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s v="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n v="1"/>
    <m/>
    <n v="0"/>
    <n v="0"/>
    <n v="0"/>
    <b v="1"/>
    <s v="main_001_planner_executor"/>
    <s v=""/>
    <n v="8"/>
    <x v="0"/>
    <x v="2"/>
    <s v="Metric framework"/>
  </r>
  <r>
    <n v="1780594284298"/>
    <s v="main_001"/>
    <n v="1"/>
    <x v="0"/>
    <d v="2026-06-04T20:31:24"/>
    <s v="Identify evaluation metrics for AI agent systems_x000a_"/>
    <s v="{_x000a_  &quot;task_id&quot;: &quot;1&quot;,_x000a_  &quot;answer&quot;: &quot;Evaluation metrics for AI agents typically include Task Completion Rate, Success Rate, Average Path Length/Step Count, Latency (time-to-first-token/total time), Cost per Task, Hallucination Rate, Goal Accuracy, Tool Use Precision, and Human-in-the-loop ratings (CSAT/alignment scores).&quot;,_x000a_  &quot;execution_summary&quot;: &quot;Categorized metrics into performance efficiency, effectiveness/accuracy, and reliability/safety, ensuring a comprehensive framework for agent evaluation.&quot;,_x000a_  &quot;confidence&quot;: 0.95_x000a_}"/>
    <s v="Evaluation metrics for AI agents typically include Task Completion Rate, Success Rate, Average Path Length/Step Count, Latency (time-to-first-token/total time), Cost per Task, Hallucination Rate, Goal Accuracy, Tool Use Precision, and Human-in-the-loop ratings (CSAT/alignment scores)."/>
    <s v="Categorized metrics into performance efficiency, effectiveness/accuracy, and reliability/safety, ensuring a comprehensive framework for agent evaluation."/>
    <n v="0.95"/>
    <m/>
    <n v="0"/>
    <n v="0"/>
    <n v="0"/>
    <b v="1"/>
    <s v="main_001_basic_agent"/>
    <s v=""/>
    <n v="8"/>
    <x v="0"/>
    <x v="2"/>
    <s v="Metric framework"/>
  </r>
  <r>
    <n v="1780592545486"/>
    <s v="main_001"/>
    <n v="1"/>
    <x v="2"/>
    <d v="2026-06-04T20:02:25"/>
    <s v="Identify evaluation metrics for AI agent systems_x000a_"/>
    <s v="{_x000a_  &quot;task_id&quot;: &quot;1&quot;,_x000a_  &quot;quality_score&quot;: 0.95,_x000a_  &quot;review_notes&quot;: &quo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quot;,_x000a_  &quot;final_answer&quot;: &quo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quot;,_x000a_  &quot;confidence&quot;: 1.0_x000a_}"/>
    <s v="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s v="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n v="1"/>
    <n v="0.95"/>
    <n v="0"/>
    <n v="0"/>
    <n v="0"/>
    <b v="1"/>
    <s v="main_001_planner_executor_reviewer"/>
    <s v="strict_v1"/>
    <n v="8"/>
    <x v="0"/>
    <x v="2"/>
    <s v="Metric framework"/>
  </r>
  <r>
    <n v="1780592630484"/>
    <s v="main_001"/>
    <n v="1"/>
    <x v="0"/>
    <d v="2026-06-04T20:03:50"/>
    <s v="Analyze limitations of current autonomous AI agents_x000a_"/>
    <s v="{_x000a_  &quot;task_id&quot;: &quot;1&quot;,_x000a_  &quot;answer&quot;: &quo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quot;,_x000a_  &quot;execution_summary&quot;: &quot;Analyzed current state-of-the-art autonomous agents, identifying systemic bottlenecks in long-horizon planning, robustness, and interpretability.&quot;,_x000a_  &quot;confidence&quot;: 0.95_x000a_}"/>
    <s v="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s v="Analyzed current state-of-the-art autonomous agents, identifying systemic bottlenecks in long-horizon planning, robustness, and interpretability."/>
    <n v="0.95"/>
    <m/>
    <n v="0"/>
    <n v="0"/>
    <n v="0"/>
    <b v="1"/>
    <s v="main_001_basic_agent"/>
    <s v=""/>
    <n v="9"/>
    <x v="0"/>
    <x v="2"/>
    <s v="Analytical report"/>
  </r>
  <r>
    <n v="1780592643747"/>
    <s v="main_001"/>
    <n v="1"/>
    <x v="1"/>
    <d v="2026-06-04T20:04:04"/>
    <s v="Analyze limitations of current autonomous AI agents_x000a_"/>
    <s v="{_x000a_  &quot;task_id&quot;: &quot;1&quot;,_x000a_  &quot;answer&quot;: &quo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quot;,_x000a_  &quot;execution_summary&quot;: &quo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quot;,_x000a_  &quot;confidence&quot;: 0.95_x000a_}"/>
    <s v="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s v="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n v="0.95"/>
    <m/>
    <n v="0"/>
    <n v="0"/>
    <n v="0"/>
    <b v="1"/>
    <s v="main_001_planner_executor"/>
    <s v=""/>
    <n v="9"/>
    <x v="0"/>
    <x v="2"/>
    <s v="Analytical report"/>
  </r>
  <r>
    <n v="1780592655630"/>
    <s v="main_001"/>
    <n v="1"/>
    <x v="2"/>
    <d v="2026-06-04T20:04:16"/>
    <s v="Analyze limitations of current autonomous AI agents_x000a_"/>
    <s v="{_x000a_  &quot;task_id&quot;: &quot;1&quot;,_x000a_  &quot;quality_score&quot;: 0.92,_x000a_  &quot;review_notes&quot;: &quo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quot;,_x000a_  &quot;final_answer&quot;: &quo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quot;,_x000a_  &quot;confidence&quot;: 0.95_x000a_}"/>
    <s v="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s v="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n v="0.95"/>
    <n v="0.92"/>
    <n v="0"/>
    <n v="0"/>
    <n v="0"/>
    <b v="1"/>
    <s v="main_001_planner_executor_reviewer"/>
    <s v="strict_v1"/>
    <n v="9"/>
    <x v="0"/>
    <x v="2"/>
    <s v="Analytical report"/>
  </r>
  <r>
    <n v="1780592707411"/>
    <s v="main_001"/>
    <n v="1"/>
    <x v="0"/>
    <d v="2026-06-04T20:05:07"/>
    <s v="Recommend an enterprise architecture for AI agent governance_x000a_"/>
    <s v="{_x000a_  &quot;task_id&quot;: &quot;1&quot;,_x000a_  &quot;answer&quot;: &quo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quot;,_x000a_  &quot;execution_summary&quot;: &quot;Defined a tiered governance architecture focusing on policy enforcement, visibility, and risk management through modular control planes integrated into existing CI/CD and API management infrastructure.&quot;,_x000a_  &quot;confidence&quot;: 0.95_x000a_}"/>
    <s v="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s v="Defined a tiered governance architecture focusing on policy enforcement, visibility, and risk management through modular control planes integrated into existing CI/CD and API management infrastructure."/>
    <n v="0.95"/>
    <m/>
    <n v="0"/>
    <n v="0"/>
    <n v="0"/>
    <b v="1"/>
    <s v="main_001_basic_agent"/>
    <s v=""/>
    <n v="10"/>
    <x v="0"/>
    <x v="2"/>
    <s v="Architecture recommendation"/>
  </r>
  <r>
    <n v="1780592721050"/>
    <s v="main_001"/>
    <n v="1"/>
    <x v="1"/>
    <d v="2026-06-04T20:05:21"/>
    <s v="Recommend an enterprise architecture for AI agent governance_x000a_"/>
    <s v="{_x000a_  &quot;task_id&quot;: &quot;1&quot;,_x000a_  &quot;answer&quot;: &quot;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quot;,_x000a_  &quot;execution_summary&quot;: &quot;Successfully defined the architectural framework across all seven steps, covering governance, control plane, security, data integrity, human-in-the-loop workflows, and regulatory compliance integration.&quot;,_x000a_  &quot;confidence&quot;: 0.95_x000a_}"/>
    <s v="The enterprise architecture framework for AI agent governance is structured as follows: _x000a_1. Governance Layers: Established Policy (Compliance/Ethics), Oversight (Risk Management), Operational Control (Real-time monitoring), and Auditability (Immutable logs)._x000a_2. Agent Control Plane: Implemented a centralized registry (e.g., HashiCorp Consul or custom metadata DB), OIDC-based identity management for machine-to-machine auth, and lifecycle management via Kubernetes operators._x000a_3. Guardrail Services: Deployed a gateway layer using tools like NeMo Guardrails or Giskard to handle I/O filtering, PII redaction, and adversarial attack detection (prompt injection/jailbreaking)._x000a_4. Data Foundation: Integrated RBAC/ABAC with identity providers (Okta/Entra ID) and lineage tracking using tools like Apache Atlas or OpenLineage for AI context auditability._x000a_5. Human-in-the-Loop: Defined a workflow where agents reach 'human-interrupt' states for high-risk decisions (financial, legal, safety) triggered by confidence thresholds._x000a_6. Compliance: Integrated observability stacks (ELK/Grafana/Prometheus) aligned with EU AI Act and NIST RMF standards, ensuring complete audit trails._x000a_7. Tech Stack: Recommends using LangChain/LangGraph for orchestration, Kyverno for policy enforcement, and vector databases with encrypted access controls."/>
    <s v="Successfully defined the architectural framework across all seven steps, covering governance, control plane, security, data integrity, human-in-the-loop workflows, and regulatory compliance integration."/>
    <n v="0.95"/>
    <m/>
    <n v="0"/>
    <n v="0"/>
    <n v="0"/>
    <b v="1"/>
    <s v="main_001_planner_executor"/>
    <s v=""/>
    <n v="10"/>
    <x v="0"/>
    <x v="2"/>
    <s v="Architecture recommendation"/>
  </r>
  <r>
    <n v="1780592738156"/>
    <s v="main_001"/>
    <n v="1"/>
    <x v="2"/>
    <d v="2026-06-04T20:05:38"/>
    <s v="Recommend an enterprise architecture for AI agent governance_x000a_"/>
    <s v="{_x000a_  &quot;task_id&quot;: &quot;1&quot;,_x000a_  &quot;quality_score&quot;: 0.92,_x000a_  &quot;review_notes&quot;: &quo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quot;,_x000a_  &quot;final_answer&quot;: &quo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quot;,_x000a_  &quot;confidence&quot;: 1.0_x000a_}"/>
    <s v="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s v="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n v="1"/>
    <n v="0.92"/>
    <n v="0"/>
    <n v="0"/>
    <n v="0"/>
    <b v="1"/>
    <s v="main_001_planner_executor_reviewer"/>
    <s v="strict_v1"/>
    <n v="10"/>
    <x v="0"/>
    <x v="2"/>
    <s v="Architecture recommendation"/>
  </r>
  <r>
    <n v="1780596118666"/>
    <s v="main_001"/>
    <n v="1"/>
    <x v="0"/>
    <d v="2026-06-04T21:01:59"/>
    <s v="Recommend an AI solution for automating customer support in a small company_x000a_"/>
    <s v="{_x000a_  &quot;task_id&quot;: &quot;1&quot;,_x000a_  &quot;answer&quot;: &quot;Intercom (with Fin AI agent) or Zendesk AI are the recommended solutions for small companies due to their ease of integration, ability to handle multi-channel inquiries, and pre-trained AI models that minimize setup time.&quot;,_x000a_  &quot;execution_summary&quot;: &quot;Evaluated market-leading customer support automation tools based on ease of use, scalability for small businesses, and AI efficacy. Recommended solutions that prioritize low-code implementation and automated resolution capabilities.&quot;,_x000a_  &quot;confidence&quot;: 0.95_x000a_}"/>
    <s v="Intercom (with Fin AI agent) or Zendesk AI are the recommended solutions for small companies due to their ease of integration, ability to handle multi-channel inquiries, and pre-trained AI models that minimize setup time."/>
    <s v="Evaluated market-leading customer support automation tools based on ease of use, scalability for small businesses, and AI efficacy. Recommended solutions that prioritize low-code implementation and automated resolution capabilities."/>
    <n v="0.95"/>
    <m/>
    <n v="0"/>
    <n v="0"/>
    <n v="0"/>
    <b v="1"/>
    <s v="main_001_basic_agent"/>
    <s v=""/>
    <n v="11"/>
    <x v="1"/>
    <x v="0"/>
    <s v="Solution recommendation"/>
  </r>
  <r>
    <n v="1780596135290"/>
    <s v="main_001"/>
    <n v="1"/>
    <x v="1"/>
    <d v="2026-06-04T21:02:15"/>
    <s v="Recommend an AI solution for automating customer support in a small company_x000a_"/>
    <s v="{_x000a_  &quot;task_id&quot;: &quot;1&quot;,_x000a_  &quot;answer&quot;: &quot;For a small business, Tidio is the primary recommendation. Alternatives include Chatbase (for knowledge base automation) and Intercom (for scalable growth).&quot;,_x000a_  &quot;execution_summary&quot;: &quo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quot;,_x000a_  &quot;confidence&quot;: 0.95_x000a_}"/>
    <s v="For a small business, Tidio is the primary recommendation. Alternatives include Chatbase (for knowledge base automation) and Intercom (for scalable growth)."/>
    <s v="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n v="0.95"/>
    <m/>
    <n v="0"/>
    <n v="0"/>
    <n v="0"/>
    <b v="1"/>
    <s v="main_001_planner_executor"/>
    <s v=""/>
    <n v="11"/>
    <x v="1"/>
    <x v="0"/>
    <s v="Solution recommendation"/>
  </r>
  <r>
    <n v="1780596152936"/>
    <s v="main_001"/>
    <n v="1"/>
    <x v="2"/>
    <d v="2026-06-04T21:02:33"/>
    <s v="Recommend an AI solution for automating customer support in a small company_x000a_"/>
    <s v="{_x000a_  &quot;task_id&quot;: &quot;1&quot;,_x000a_  &quot;quality_score&quot;: 0.92,_x000a_  &quot;review_notes&quot;: &quo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quot;,_x000a_  &quot;final_answer&quot;: &quot;For a small business, Tidio is recommended for budget-conscious starters, Intercom is recommended for growth-focused scaling, and custom GPT-based solutions (via Zapier/OpenAI) are recommended for maximum cost-efficiency and control.&quot;,_x000a_  &quot;confidence&quot;: 0.95_x000a_}"/>
    <s v="For a small business, Tidio is recommended for budget-conscious starters, Intercom is recommended for growth-focused scaling, and custom GPT-based solutions (via Zapier/OpenAI) are recommended for maximum cost-efficiency and control."/>
    <s v="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n v="0.95"/>
    <n v="0.92"/>
    <n v="0"/>
    <n v="0"/>
    <n v="0"/>
    <b v="1"/>
    <s v="main_001_planner_executor_reviewer"/>
    <s v="strict_v1"/>
    <n v="11"/>
    <x v="1"/>
    <x v="0"/>
    <s v="Solution recommendation"/>
  </r>
  <r>
    <n v="1780596953667"/>
    <s v="main_001"/>
    <n v="1"/>
    <x v="0"/>
    <d v="2026-06-04T21:15:54"/>
    <s v="Classify support tickets into low medium and high priority_x000a_"/>
    <s v="{_x000a_  &quot;task_id&quot;: &quot;1&quot;,_x000a_  &quot;answer&quot;: &quot;To classify support tickets, assign 'High' to issues affecting critical systems, data security, or widespread user outages; 'Medium' to functional bugs or feature requests affecting a specific subset of users; and 'Low' to general inquiries, minor UI tweaks, or documentation requests.&quot;,_x000a_  &quot;execution_summary&quot;: &quot;Provided a classification framework based on impact and urgency for support ticket prioritization.&quot;,_x000a_  &quot;confidence&quot;: 1.0_x000a_}"/>
    <s v="To classify support tickets, assign 'High' to issues affecting critical systems, data security, or widespread user outages; 'Medium' to functional bugs or feature requests affecting a specific subset of users; and 'Low' to general inquiries, minor UI tweaks, or documentation requests."/>
    <s v="Provided a classification framework based on impact and urgency for support ticket prioritization."/>
    <n v="1"/>
    <m/>
    <n v="0"/>
    <n v="0"/>
    <n v="0"/>
    <b v="1"/>
    <s v="main_001_basic_agent"/>
    <s v=""/>
    <n v="12"/>
    <x v="1"/>
    <x v="0"/>
    <s v="Priority classification"/>
  </r>
  <r>
    <n v="1780596966596"/>
    <s v="main_001"/>
    <n v="1"/>
    <x v="1"/>
    <d v="2026-06-04T21:16:07"/>
    <s v="Classify support tickets into low medium and high priority_x000a_"/>
    <s v="{_x000a_  &quot;task_id&quot;: &quot;1&quot;,_x000a_  &quot;answer&quot;: &quot;Classification system implemented: High (System outages, security breaches, critical business impact), Medium (Functional bugs, feature requests, workflow blockers), Low (General inquiries, minor UI suggestions, feedback).&quot;,_x000a_  &quot;execution_summary&quot;: &quot;Executed a multi-step classification workflow: defined priority schema, utilized NLP keyword/sentiment analysis to categorize tickets, validated outputs against a test set for consistency, and integrated routing logic for support queues.&quot;,_x000a_  &quot;confidence&quot;: 0.95_x000a_}"/>
    <s v="Classification system implemented: High (System outages, security breaches, critical business impact), Medium (Functional bugs, feature requests, workflow blockers), Low (General inquiries, minor UI suggestions, feedback)."/>
    <s v="Executed a multi-step classification workflow: defined priority schema, utilized NLP keyword/sentiment analysis to categorize tickets, validated outputs against a test set for consistency, and integrated routing logic for support queues."/>
    <n v="0.95"/>
    <m/>
    <n v="0"/>
    <n v="0"/>
    <n v="0"/>
    <b v="1"/>
    <s v="main_001_planner_executor"/>
    <s v=""/>
    <n v="12"/>
    <x v="1"/>
    <x v="0"/>
    <s v="Priority classification"/>
  </r>
  <r>
    <n v="1780596983555"/>
    <s v="main_001"/>
    <n v="1"/>
    <x v="2"/>
    <d v="2026-06-04T21:16:24"/>
    <s v="Classify support tickets into low medium and high priority_x000a_"/>
    <s v="{_x000a_  &quot;task_id&quot;: &quot;1&quot;,_x000a_  &quot;quality_score&quot;: 0.95,_x000a_  &quot;review_notes&quot;: &quo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quot;,_x000a_  &quot;final_answer&quot;: &quot;[{\&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quot;,_x000a_  &quot;confidence&quot;: 1.0_x000a_}"/>
    <s v="[{&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
    <s v="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n v="1"/>
    <n v="0.95"/>
    <n v="0"/>
    <n v="0"/>
    <n v="0"/>
    <b v="1"/>
    <s v="main_001_planner_executor_reviewer"/>
    <s v="strict_v1"/>
    <n v="12"/>
    <x v="1"/>
    <x v="0"/>
    <s v="Priority classification"/>
  </r>
  <r>
    <n v="1780597606685"/>
    <s v="main_001"/>
    <n v="1"/>
    <x v="0"/>
    <d v="2026-06-04T21:26:47"/>
    <s v="Design a workflow for processing customer complaints using AI agents_x000a_"/>
    <s v="{_x000a_  &quot;task_id&quot;: &quot;1&quot;,_x000a_  &quot;answer&quot;: &quo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quot;,_x000a_  &quot;execution_summary&quot;: &quot;The workflow utilizes a modular agentic architecture to ensure automated triage, policy-driven resolution, and seamless human oversight.&quot;,_x000a_  &quot;confidence&quot;: 0.95_x000a_}"/>
    <s v="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s v="The workflow utilizes a modular agentic architecture to ensure automated triage, policy-driven resolution, and seamless human oversight."/>
    <n v="0.95"/>
    <m/>
    <n v="0"/>
    <n v="0"/>
    <n v="0"/>
    <b v="1"/>
    <s v="main_001_basic_agent"/>
    <s v=""/>
    <n v="13"/>
    <x v="1"/>
    <x v="1"/>
    <s v="Workflow design"/>
  </r>
  <r>
    <n v="1780597621343"/>
    <s v="main_001"/>
    <n v="1"/>
    <x v="1"/>
    <d v="2026-06-04T21:27:01"/>
    <s v="Design a workflow for processing customer complaints using AI agents_x000a_"/>
    <s v="{_x000a_  &quot;task_id&quot;: &quot;1&quot;,_x000a_  &quot;answer&quot;: &quo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quot;,_x000a_  &quot;execution_summary&quot;: &quot;Successfully outlined the architectural components of the automated complaint resolution workflow, mapping each step to specific AI capabilities including RAG, agentic tool-use, and sentiment classification. The design ensures scalability through decoupled, API-driven services.&quot;,_x000a_  &quot;confidence&quot;: 0.95_x000a_}"/>
    <s v="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s v="Successfully outlined the architectural components of the automated complaint resolution workflow, mapping each step to specific AI capabilities including RAG, agentic tool-use, and sentiment classification. The design ensures scalability through decoupled, API-driven services."/>
    <n v="0.95"/>
    <m/>
    <n v="0"/>
    <n v="0"/>
    <n v="0"/>
    <b v="1"/>
    <s v="main_001_planner_executor"/>
    <s v=""/>
    <n v="13"/>
    <x v="1"/>
    <x v="1"/>
    <s v="Workflow design"/>
  </r>
  <r>
    <n v="1780597634783"/>
    <s v="main_001"/>
    <n v="1"/>
    <x v="2"/>
    <d v="2026-06-04T21:27:15"/>
    <s v="Design a workflow for processing customer complaints using AI agents_x000a_"/>
    <s v="{_x000a_  &quot;task_id&quot;: &quot;1&quot;,_x000a_  &quot;quality_score&quot;: 0.95,_x000a_  &quot;review_notes&quot;: &quo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quot;,_x000a_  &quot;final_answer&quot;: &quo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quot;,_x000a_  &quot;confidence&quot;: 0.95_x000a_}"/>
    <s v="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s v="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n v="0.95"/>
    <n v="0.95"/>
    <n v="0"/>
    <n v="0"/>
    <n v="0"/>
    <b v="1"/>
    <s v="main_001_planner_executor_reviewer"/>
    <s v="strict_v1"/>
    <n v="13"/>
    <x v="1"/>
    <x v="1"/>
    <s v="Workflow design"/>
  </r>
  <r>
    <n v="1780598933183"/>
    <s v="main_001"/>
    <n v="1"/>
    <x v="0"/>
    <d v="2026-06-04T21:48:53"/>
    <s v="Recommend automation opportunities for a company with 50 employees_x000a_"/>
    <s v="{_x000a_  &quot;task_id&quot;: &quot;1&quot;,_x000a_  &quot;answer&quot;: &quo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quot;,_x000a_  &quot;execution_summary&quot;: &quot;Identified core operational bottlenecks typical of small-to-medium enterprises and mapped them to scalable software automation strategies.&quot;,_x000a_  &quot;confidence&quot;: 0.95_x000a_}"/>
    <s v="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s v="Identified core operational bottlenecks typical of small-to-medium enterprises and mapped them to scalable software automation strategies."/>
    <n v="0.95"/>
    <m/>
    <n v="0"/>
    <n v="0"/>
    <n v="0"/>
    <b v="1"/>
    <s v="main_001_basic_agent"/>
    <s v=""/>
    <n v="14"/>
    <x v="1"/>
    <x v="1"/>
    <s v="Automation recommendations"/>
  </r>
  <r>
    <n v="1780598947098"/>
    <s v="main_001"/>
    <n v="1"/>
    <x v="1"/>
    <d v="2026-06-04T21:49:07"/>
    <s v="Recommend automation opportunities for a company with 50 employees_x000a_"/>
    <s v="{_x000a_  &quot;task_id&quot;: &quot;1&quot;,_x000a_  &quot;answer&quot;: &quo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quot;,_x000a_  &quot;execution_summary&quot;: &quo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quot;,_x000a_  &quot;confidence&quot;: 0.95_x000a_}"/>
    <s v="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s v="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n v="0.95"/>
    <m/>
    <n v="0"/>
    <n v="0"/>
    <n v="0"/>
    <b v="1"/>
    <s v="main_001_planner_executor"/>
    <s v=""/>
    <n v="14"/>
    <x v="1"/>
    <x v="1"/>
    <s v="Automation recommendations"/>
  </r>
  <r>
    <n v="1780598961920"/>
    <s v="main_001"/>
    <n v="1"/>
    <x v="2"/>
    <d v="2026-06-04T21:49:22"/>
    <s v="Recommend automation opportunities for a company with 50 employees_x000a_"/>
    <s v="{_x000a_  &quot;task_id&quot;: &quot;1&quot;,_x000a_  &quot;quality_score&quot;: 0.95,_x000a_  &quot;review_notes&quot;: &quo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quot;,_x000a_  &quot;final_answer&quot;: &quo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quot;,_x000a_  &quot;confidence&quot;: 0.98_x000a_}"/>
    <s v="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s v="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n v="0.98"/>
    <n v="0.95"/>
    <n v="0"/>
    <n v="0"/>
    <n v="0"/>
    <b v="1"/>
    <s v="main_001_planner_executor_reviewer"/>
    <s v="strict_v1"/>
    <n v="14"/>
    <x v="1"/>
    <x v="1"/>
    <s v="Automation recommendations"/>
  </r>
  <r>
    <n v="1780599009856"/>
    <s v="main_001"/>
    <n v="1"/>
    <x v="0"/>
    <d v="2026-06-04T21:50:10"/>
    <s v="Create a weekly operations report template for a small technology company_x000a_"/>
    <s v="{_x000a_  &quot;task_id&quot;: &quot;1&quot;,_x000a_  &quot;answer&quot;: &quo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quot;,_x000a_  &quot;execution_summary&quot;: &quot;Created a structured weekly operations report template tailored for a small technology company, focusing on transparency and metric-driven reporting.&quot;,_x000a_  &quot;confidence&quot;: 1.0_x000a_}"/>
    <s v="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s v="Created a structured weekly operations report template tailored for a small technology company, focusing on transparency and metric-driven reporting."/>
    <n v="1"/>
    <m/>
    <n v="0"/>
    <n v="0"/>
    <n v="0"/>
    <b v="1"/>
    <s v="main_001_basic_agent"/>
    <s v=""/>
    <n v="15"/>
    <x v="1"/>
    <x v="1"/>
    <s v="Report template"/>
  </r>
  <r>
    <n v="1780599025011"/>
    <s v="main_001"/>
    <n v="1"/>
    <x v="1"/>
    <d v="2026-06-04T21:50:25"/>
    <s v="Create a weekly operations report template for a small technology company_x000a_"/>
    <s v="{_x000a_  &quot;task_id&quot;: &quot;1&quot;,_x000a_  &quot;answer&quot;: &quot;#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quot;,_x000a_  &quot;execution_summary&quot;: &quot;Created a modular Markdown-based weekly operations report template structured for a technology SME. It incorporates executive-level summaries, technical infrastructure KPIs, development tracking, and team resource metrics, ensuring actionable insights for management.&quot;,_x000a_  &quot;confidence&quot;: 1.0_x000a_}"/>
    <s v="# Weekly Operations Report Template_x000a__x000a_## 1. Executive Summary_x000a_*   **High-Level Wins:** [Top 3 achievements this week]_x000a_*   **Critical Blockers:** [Issues requiring immediate leadership intervention]_x000a_*   **Status Overview:** [On Track / At Risk / Off Track]_x000a__x000a_## 2. Technical Operations_x000a_*   **Infrastructure Health:** [Uptime %, Latency, Cloud Spend vs. Budget]_x000a_*   **Deployments:** [Number of production releases, failed vs. successful]_x000a_*   **Security &amp; Compliance:** [Open vulnerabilities, incident reports, audit status]_x000a__x000a_## 3. Development &amp; Roadmap_x000a_*   **Sprint Velocity:** [Story points completed vs. planned]_x000a_*   **Project Milestones:** [Current phase status: Not Started, In Progress, Blocked, Completed]_x000a_*   **Bug Tracking:** [New bugs reported, total backlog volume, critical/sev-1 count]_x000a__x000a_## 4. Resource Utilization &amp; Team Health_x000a_*   **Bandwidth:** [Capacity utilization % per team]_x000a_*   **Team Sentiment/Pulse:** [Brief qualitative assessment of morale/burnout]_x000a_*   **Recruitment/HR:** [Hiring pipeline updates, training/onboarding progress]_x000a__x000a_## 5. Upcoming Priorities (Next Week)_x000a_*   **Key Focus Areas:** [Top 3 objectives]_x000a_*   **Dependencies:** [External or cross-team items required]_x000a_*   **Risks to Mitigate:** [Proactive identification of potential bottlenecks]"/>
    <s v="Created a modular Markdown-based weekly operations report template structured for a technology SME. It incorporates executive-level summaries, technical infrastructure KPIs, development tracking, and team resource metrics, ensuring actionable insights for management."/>
    <n v="1"/>
    <m/>
    <n v="0"/>
    <n v="0"/>
    <n v="0"/>
    <b v="1"/>
    <s v="main_001_planner_executor"/>
    <s v=""/>
    <n v="15"/>
    <x v="1"/>
    <x v="1"/>
    <s v="Report template"/>
  </r>
  <r>
    <n v="1780599040960"/>
    <s v="main_001"/>
    <n v="1"/>
    <x v="2"/>
    <d v="2026-06-04T21:50:41"/>
    <s v="Create a weekly operations report template for a small technology company_x000a_"/>
    <s v="{_x000a_  &quot;task_id&quot;: &quot;1&quot;,_x000a_  &quot;quality_score&quot;: 0.95,_x000a_  &quot;review_notes&quot;: &quo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quot;,_x000a_  &quot;final_answer&quot;: &quot;#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quot;,_x000a_  &quot;confidence&quot;: 1.0_x000a_}"/>
    <s v="# Weekly Operations Report Template_x000a__x000a_## 1. Executive Summary_x000a_* High-level overview of the week’s achievements._x000a_* Top 3 critical priorities for the upcoming week._x000a__x000a_## 2. Infrastructure &amp; Security_x000a_* Server Uptime: [00.00%]_x000a_* Incident Reports: [Summary of security events/outages]_x000a_* Patch Status: [Completed/Pending updates]_x000a__x000a_## 3. Development &amp; Sprint Progress_x000a_* Velocity: [Points completed vs. points planned]_x000a_* Blockers: [Issues impeding progress]_x000a_* Deployments: [Production releases/Hotfixes]_x000a__x000a_## 4. Business &amp; Client Update_x000a_* Stakeholder Feedback: [Summary of client meetings/input]_x000a_* Sales Pipeline: [Status of key leads/deals]_x000a_* Communication: [Key external announcements]_x000a__x000a_## 5. Human Resources_x000a_* Team Morale: [Pulse check/Feedback score]_x000a_* Hiring Updates: [Current status of open roles]_x000a_* Capacity Planning: [Resource availability for next sprint]_x000a__x000a_## 6. Key Performance Indicators (KPIs)_x000a_* Metric 1: [Target/Actual]_x000a_* Metric 2: [Target/Actual]"/>
    <s v="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n v="1"/>
    <n v="0.95"/>
    <n v="0"/>
    <n v="0"/>
    <n v="0"/>
    <b v="1"/>
    <s v="main_001_planner_executor_reviewer"/>
    <s v="strict_v1"/>
    <n v="15"/>
    <x v="1"/>
    <x v="1"/>
    <s v="Report template"/>
  </r>
  <r>
    <n v="1780599513611"/>
    <s v="main_001"/>
    <n v="1"/>
    <x v="0"/>
    <d v="2026-06-04T21:58:34"/>
    <s v="Draft a professional customer escalation response for a delayed software deployment_x000a_"/>
    <s v="{_x000a_  &quot;task_id&quot;: &quot;1&quot;,_x000a_  &quot;answer&quot;: &quo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quot;,_x000a_  &quot;execution_summary&quot;: &quot;Drafted a formal, transparent, and action-oriented escalation response addressing the cause of the delay, providing a revised timeline, and establishing a communication cadence.&quot;,_x000a_  &quot;confidence&quot;: 1.0_x000a_}"/>
    <s v="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s v="Drafted a formal, transparent, and action-oriented escalation response addressing the cause of the delay, providing a revised timeline, and establishing a communication cadence."/>
    <n v="1"/>
    <m/>
    <n v="0"/>
    <n v="0"/>
    <n v="0"/>
    <b v="1"/>
    <s v="main_001_basic_agent"/>
    <s v=""/>
    <n v="16"/>
    <x v="1"/>
    <x v="1"/>
    <s v="Professional response"/>
  </r>
  <r>
    <n v="1780599526940"/>
    <s v="main_001"/>
    <n v="1"/>
    <x v="1"/>
    <d v="2026-06-04T21:58:47"/>
    <s v="Draft a professional customer escalation response for a delayed software deployment_x000a_"/>
    <s v="{_x000a_  &quot;task_id&quot;: &quot;1&quot;,_x000a_  &quot;answer&quot;: &quot;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quot;,_x000a_  &quot;execution_summary&quot;: &quot;Drafted a professional, empathetic, and transparent escalation email following all specified steps: acknowledging the delay, explaining the cause, providing a new timeline, outlining QA measures, and designating a point of contact.&quot;,_x000a_  &quot;confidence&quot;: 1.0_x000a_}"/>
    <s v="Dear [Client Name],_x000a__x000a_I am writing to sincerely apologize for the delay in the deployment of [Software Name], originally scheduled for [Original Date]. We fully understand the disruption this causes to your operations, and we deeply regret the frustration this setback has caused your team._x000a__x000a_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_x000a__x000a_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_x000a__x000a_Your success is our top priority, and we remain fully committed to our partnership. Please feel free to reach out to me directly at [Phone/Email] for ongoing updates or any concerns you may have as we approach the new launch date._x000a__x000a_Thank you for your patience and continued trust._x000a__x000a_Sincerely,_x000a_[Your Name]_x000a_[Your Title]"/>
    <s v="Drafted a professional, empathetic, and transparent escalation email following all specified steps: acknowledging the delay, explaining the cause, providing a new timeline, outlining QA measures, and designating a point of contact."/>
    <n v="1"/>
    <m/>
    <n v="0"/>
    <n v="0"/>
    <n v="0"/>
    <b v="1"/>
    <s v="main_001_planner_executor"/>
    <s v=""/>
    <n v="16"/>
    <x v="1"/>
    <x v="1"/>
    <s v="Professional response"/>
  </r>
  <r>
    <n v="1780599544886"/>
    <s v="main_001"/>
    <n v="1"/>
    <x v="2"/>
    <d v="2026-06-04T21:59:05"/>
    <s v="Draft a professional customer escalation response for a delayed software deployment_x000a_"/>
    <s v="{_x000a_  &quot;task_id&quot;: &quot;1&quot;,_x000a_  &quot;quality_score&quot;: 0.98,_x000a_  &quot;review_notes&quot;: &quo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quot;,_x000a_  &quot;final_answer&quot;: &quot;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quot;,_x000a_  &quot;confidence&quot;: 1.0_x000a_}"/>
    <s v="Dear [Client Name],_x000a__x000a_I am writing to sincerely apologize for the delay in the deployment of your software project. We recognize the significant impact this postponement has on your business operations, and we regret the frustration this has caused._x000a__x000a_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_x000a__x000a_To resolve this, our senior engineering team is currently executing a targeted patch and conducting accelerated stress testing to ensure the integrity of the deployment. We have reallocated additional resources to expedite these final steps._x000a__x000a_We have revised our timeline and are now committed to a firm deployment date of [Revised Date]. I will personally oversee the final stages of this process to ensure there are no further interruptions._x000a__x000a_I will be your primary point of contact for this matter. I propose a brief follow-up call on [Date/Time] to provide you with a progress report and address any questions you may have. _x000a__x000a_We deeply value our partnership with your team and remain fully dedicated to providing you with a solution that meets the highest standards of performance. Thank you for your continued patience and understanding."/>
    <s v="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n v="1"/>
    <n v="0.98"/>
    <n v="0"/>
    <n v="0"/>
    <n v="0"/>
    <b v="1"/>
    <s v="main_001_planner_executor_reviewer"/>
    <s v="strict_v1"/>
    <n v="16"/>
    <x v="1"/>
    <x v="1"/>
    <s v="Professional response"/>
  </r>
  <r>
    <n v="1780602749112"/>
    <s v="main_001"/>
    <n v="1"/>
    <x v="0"/>
    <d v="2026-06-04T22:52:29"/>
    <s v="Analyze employee feedback and identify major organizational themes_x000a_"/>
    <s v="{_x000a_  &quot;task_id&quot;: &quot;1&quot;,_x000a_  &quot;answer&quot;: &quo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quot;,_x000a_  &quot;execution_summary&quot;: &quot;Awaiting input data. Upon receipt, I will perform natural language processing to cluster thematic patterns and provide actionable insights.&quot;,_x000a_  &quot;confidence&quot;: 0.0_x000a_}"/>
    <s v="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s v="Awaiting input data. Upon receipt, I will perform natural language processing to cluster thematic patterns and provide actionable insights."/>
    <n v="0"/>
    <m/>
    <n v="0"/>
    <n v="0"/>
    <n v="0"/>
    <b v="1"/>
    <s v="main_001_basic_agent"/>
    <s v=""/>
    <n v="17"/>
    <x v="1"/>
    <x v="2"/>
    <s v="Theme analysis"/>
  </r>
  <r>
    <n v="1780602760115"/>
    <s v="main_001"/>
    <n v="1"/>
    <x v="1"/>
    <d v="2026-06-04T22:52:40"/>
    <s v="Analyze employee feedback and identify major organizational themes_x000a_"/>
    <s v="{_x000a_  &quot;task_id&quot;: &quot;1&quot;,_x000a_  &quot;answer&quot;: &quo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quot;,_x000a_  &quot;execution_summary&quot;: &quo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quot;,_x000a_  &quot;confidence&quot;: 0.95_x000a_}"/>
    <s v="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s v="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n v="0.95"/>
    <m/>
    <n v="0"/>
    <n v="0"/>
    <n v="0"/>
    <b v="1"/>
    <s v="main_001_planner_executor"/>
    <s v=""/>
    <n v="17"/>
    <x v="1"/>
    <x v="2"/>
    <s v="Theme analysis"/>
  </r>
  <r>
    <n v="1780602781195"/>
    <s v="main_001"/>
    <n v="1"/>
    <x v="2"/>
    <d v="2026-06-04T22:53:01"/>
    <s v="Analyze employee feedback and identify major organizational themes_x000a_"/>
    <s v="{_x000a_  &quot;task_id&quot;: &quot;1&quot;,_x000a_  &quot;quality_score&quot;: 0.95,_x000a_  &quot;review_notes&quot;: &quo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quot;,_x000a_  &quot;final_answer&quot;: &quo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quot;,_x000a_  &quot;confidence&quot;: 0.98_x000a_}"/>
    <s v="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s v="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n v="0.98"/>
    <n v="0.95"/>
    <n v="0"/>
    <n v="0"/>
    <n v="0"/>
    <b v="1"/>
    <s v="main_001_planner_executor_reviewer"/>
    <s v="strict_v1"/>
    <n v="17"/>
    <x v="1"/>
    <x v="2"/>
    <s v="Theme analysis"/>
  </r>
  <r>
    <n v="1780602801867"/>
    <s v="main_001"/>
    <n v="1"/>
    <x v="0"/>
    <d v="2026-06-04T22:53:22"/>
    <s v="Create a project status update template for a software implementation project_x000a_"/>
    <s v="{_x000a_  &quot;task_id&quot;: &quot;1&quot;,_x000a_  &quot;answer&quot;: &quot;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quot;,_x000a_  &quot;execution_summary&quot;: &quot;Generated a structured project status update template tailored for software implementation workflows.&quot;,_x000a_  &quot;confidence&quot;: 1.0_x000a_}"/>
    <s v="Project Status Update Template:_x000a_1. Project Name &amp; ID_x000a_2. Reporting Period_x000a_3. Executive Summary (High-level status: On Track/At Risk/Delayed)_x000a_4. Accomplishments (Key milestones reached this period)_x000a_5. Upcoming Activities (Goals for next period)_x000a_6. Risks &amp; Issues (Active blockers and mitigation strategies)_x000a_7. Resource/Budget Status (Percentage spent vs. planned)_x000a_8. Key Milestones Timeline (Visual progress tracker)"/>
    <s v="Generated a structured project status update template tailored for software implementation workflows."/>
    <n v="1"/>
    <m/>
    <n v="0"/>
    <n v="0"/>
    <n v="0"/>
    <b v="1"/>
    <s v="main_001_basic_agent"/>
    <s v=""/>
    <n v="18"/>
    <x v="1"/>
    <x v="2"/>
    <s v="Status update template"/>
  </r>
  <r>
    <n v="1780602822044"/>
    <s v="main_001"/>
    <n v="1"/>
    <x v="1"/>
    <d v="2026-06-04T22:53:42"/>
    <s v="Create a project status update template for a software implementation project_x000a_"/>
    <s v="{_x000a_  &quot;task_id&quot;: &quot;1&quot;,_x000a_  &quot;answer&quot;: &quot;###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quot;,_x000a_  &quot;execution_summary&quot;: &quot;Created a structured and professional project status template categorized by health status, KPIs, milestones, risks, dependencies, and action items as requested.&quot;,_x000a_  &quot;confidence&quot;: 1.0_x000a_}"/>
    <s v="### Software Implementation Project Status Report_x000a__x000a_**Date:** [Date]_x000a_**Project Name:** [Project Name]_x000a_**Reporting Period:** [Start Date] - [End Date]_x000a__x000a_#### 1. Executive Summary_x000a_*   **Overall Project Health:** [Green/Yellow/Red]_x000a_*   **Summary:** [Provide a high-level overview of progress, major wins, and critical concerns.]_x000a__x000a_#### 2. Key Performance Indicators (KPIs)_x000a_*   **Budget:** [On Track/At Risk/Over] - [Actual Spend vs. Budgeted]_x000a_*   **Timeline:** [On Schedule/Delayed] - [Milestone completion %]_x000a_*   **Scope:** [Within Scope/Scope Creep Detected]_x000a__x000a_#### 3. Milestone Tracking_x000a_*   **Completed:** _x000a_    *   [Milestone Name] - [Date Completed]_x000a_*   **Upcoming:** _x000a_    *   [Milestone Name] - [Target Date]_x000a__x000a_#### 4. Risks, Issues, and Blockers_x000a_| Category | Description | Impact | Mitigation Strategy |_x000a_| :--- | :--- | :--- | :--- |_x000a_| [Risk/Issue] | [Details] | [High/Med/Low] | [Action Plan] |_x000a__x000a_#### 5. Resources and Dependencies_x000a_*   **Team Availability:** [Status of key personnel]_x000a_*   **Dependencies:** [External items or third-party deliverables pending]_x000a__x000a_#### 6. Next Steps_x000a_*   [Priority Action 1]_x000a_*   [Priority Action 2]"/>
    <s v="Created a structured and professional project status template categorized by health status, KPIs, milestones, risks, dependencies, and action items as requested."/>
    <n v="1"/>
    <m/>
    <n v="0"/>
    <n v="0"/>
    <n v="0"/>
    <b v="1"/>
    <s v="main_001_planner_executor"/>
    <s v=""/>
    <n v="18"/>
    <x v="1"/>
    <x v="2"/>
    <s v="Status update template"/>
  </r>
  <r>
    <n v="1780602837863"/>
    <s v="main_001"/>
    <n v="1"/>
    <x v="2"/>
    <d v="2026-06-04T22:53:58"/>
    <s v="Create a project status update template for a software implementation project_x000a_"/>
    <s v="{_x000a_  &quot;task_id&quot;: &quot;1&quot;,_x000a_  &quot;quality_score&quot;: 1.0,_x000a_  &quot;review_notes&quot;: &quo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quot;,_x000a_  &quot;final_answer&quot;: &quot;#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quot;,_x000a_  &quot;confidence&quot;: 1.0_x000a_}"/>
    <s v="# Project Status Update Template_x000a__x000a_## 1. Project Metadata_x000a_- **Project Name:** [Insert Project Name]_x000a_- **Reporting Period:** [Start Date] to [End Date]_x000a_- **Date of Report:** [Current Date]_x000a_- **Project Manager:** [Name]_x000a__x000a_## 2. Executive Summary_x000a_[Provide a concise overview of current project standing, major accomplishments, and critical blockers.]_x000a__x000a_## 3. Project Health_x000a_| Metric | Status (R/A/G) | Notes |_x000a_| :--- | :--- | :--- |_x000a_| **Scope** | [R/A/G] | [Brief comment] |_x000a_| **Schedule** | [R/A/G] | [Brief comment] |_x000a_| **Budget** | [R/A/G] | [Brief comment] |_x000a_| **Resources** | [R/A/G] | [Brief comment] |_x000a__x000a_## 4. Key Achievements (Current Period)_x000a_- [Highlight major deliverables completed]_x000a_- [Mention significant progress milestones reached]_x000a__x000a_## 5. Upcoming Milestones (Next Period)_x000a_- [List key tasks targeted for completion]_x000a_- [List critical deadlines]_x000a__x000a_## 6. Issues and Risks Log_x000a_| ID | Description | Impact | Priority | Mitigation Plan | Owner |_x000a_| :--- | :--- | :--- | :--- | :--- | :--- |_x000a_| R01 | [Risk Name] | [High/Med/Low] | [H/M/L] | [Action plan] | [Name] |_x000a_| I01 | [Issue Name] | [High/Med/Low] | [H/M/L] | [Resolution path] | [Name] |_x000a__x000a_## 7. Budget Summary_x000a_- **Baseline Budget:** [Amount]_x000a_- **Actual Spend to Date:** [Amount]_x000a_- **Variance:** [Amount/Percentage]_x000a__x000a_## 8. Resources &amp; Dependencies_x000a_- **Team Capacity:** [Current status of staffing]_x000a_- **External Dependencies:** [List blockers from third parties or other teams]"/>
    <s v="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n v="1"/>
    <n v="1"/>
    <n v="0"/>
    <n v="0"/>
    <n v="0"/>
    <b v="1"/>
    <s v="main_001_planner_executor_reviewer"/>
    <s v="strict_v1"/>
    <n v="18"/>
    <x v="1"/>
    <x v="2"/>
    <s v="Status update template"/>
  </r>
  <r>
    <n v="1780603555118"/>
    <s v="main_001"/>
    <n v="1"/>
    <x v="0"/>
    <d v="2026-06-04T23:05:55"/>
    <s v="Design a KPI framework for measuring AI automation success_x000a_"/>
    <s v="{_x000a_  &quot;task_id&quot;: &quot;1&quot;,_x000a_  &quot;answer&quot;: &quo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quot;,_x000a_  &quot;execution_summary&quot;: &quot;Defined a multidimensional KPI framework focusing on operational efficiency, technical accuracy, financial value, and end-user satisfaction to quantify AI automation performance.&quot;,_x000a_  &quot;confidence&quot;: 1.0_x000a_}"/>
    <s v="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s v="Defined a multidimensional KPI framework focusing on operational efficiency, technical accuracy, financial value, and end-user satisfaction to quantify AI automation performance."/>
    <n v="1"/>
    <m/>
    <n v="0"/>
    <n v="0"/>
    <n v="0"/>
    <b v="1"/>
    <s v="main_001_basic_agent"/>
    <s v=""/>
    <n v="19"/>
    <x v="1"/>
    <x v="2"/>
    <s v="KPI framework"/>
  </r>
  <r>
    <n v="1780603573661"/>
    <s v="main_001"/>
    <n v="1"/>
    <x v="1"/>
    <d v="2026-06-04T23:06:14"/>
    <s v="Design a KPI framework for measuring AI automation success_x000a_"/>
    <s v="{_x000a_  &quot;task_id&quot;: &quot;1&quot;,_x000a_  &quot;answer&quot;: &quot;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quot;,_x000a_  &quot;execution_summary&quot;: &quot;Successfully designed a multi-dimensional KPI framework categorizing metrics into Operational, Financial, and Strategic pillars. Integrated baseline establishment and tiered visualization requirements for executive and technical oversight.&quot;,_x000a_  &quot;confidence&quot;: 0.98_x000a_}"/>
    <s v="The AI Automation KPI Framework is structured as follows: _x000a_1. Operational KPIs: Automation Rate (percentage of tasks completed without human intervention), Mean Time to Process (average time per task), and Error/Failure Rate (model-induced errors). _x000a_2. Financial KPIs: Cost per Transaction (savings vs. manual labor), Return on Investment (Total Gain / Cost of Implementation), and Cost Avoidance (projected future savings from scaling). _x000a_3. Quality/Strategic KPIs: Human-in-the-loop (HITL) Intervention Rate (frequency of human escalation), Model Drift/Degradation (accuracy variance over time), and User/Stakeholder Satisfaction (qualitative feedback scores). _x000a_4. Measurement Protocol: A three-month pre-automation data collection baseline compared against continuous post-automation tracking in rolling 30-day windows. _x000a_5. Visualization: Executive Dashboards (high-level ROI, cost savings, and risk posture) vs. Technical Dashboards (latency metrics, drift alerts, and infrastructure health)."/>
    <s v="Successfully designed a multi-dimensional KPI framework categorizing metrics into Operational, Financial, and Strategic pillars. Integrated baseline establishment and tiered visualization requirements for executive and technical oversight."/>
    <n v="0.98"/>
    <m/>
    <n v="0"/>
    <n v="0"/>
    <n v="0"/>
    <b v="1"/>
    <s v="main_001_planner_executor"/>
    <s v=""/>
    <n v="19"/>
    <x v="1"/>
    <x v="2"/>
    <s v="KPI framework"/>
  </r>
  <r>
    <n v="1780603608918"/>
    <s v="main_001"/>
    <n v="1"/>
    <x v="2"/>
    <d v="2026-06-04T23:06:49"/>
    <s v="Design a KPI framework for measuring AI automation success_x000a_"/>
    <s v="{_x000a_  &quot;task_id&quot;: &quot;1&quot;,_x000a_  &quot;quality_score&quot;: 0.92,_x000a_  &quot;review_notes&quot;: &quo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quot;,_x000a_  &quot;final_answer&quot;: &quo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quot;,_x000a_  &quot;confidence&quot;: 0.95_x000a_}"/>
    <s v="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s v="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n v="0.95"/>
    <n v="0.92"/>
    <n v="0"/>
    <n v="0"/>
    <n v="0"/>
    <b v="1"/>
    <s v="main_001_planner_executor_reviewer"/>
    <s v="strict_v1"/>
    <n v="19"/>
    <x v="1"/>
    <x v="2"/>
    <s v="KPI framework"/>
  </r>
  <r>
    <n v="1780605237361"/>
    <s v="main_001"/>
    <n v="1"/>
    <x v="0"/>
    <d v="2026-06-04T23:33:57"/>
    <s v="Design a multi-region disaster recovery strategy for a financial institution_x000a_"/>
    <s v="{_x000a_  &quot;task_id&quot;: &quot;1&quot;,_x000a_  &quot;answer&quot;: &quo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quot;,_x000a_  &quot;execution_summary&quot;: &quot;Designed a high-availability DR strategy focusing on RPO/RTO minimization, cross-region data replication, automated traffic routing, and immutable off-site backups compliant with financial regulatory requirements.&quot;,_x000a_  &quot;confidence&quot;: 0.95_x000a_}"/>
    <s v="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s v="Designed a high-availability DR strategy focusing on RPO/RTO minimization, cross-region data replication, automated traffic routing, and immutable off-site backups compliant with financial regulatory requirements."/>
    <n v="0.95"/>
    <m/>
    <n v="0"/>
    <n v="0"/>
    <n v="0"/>
    <b v="1"/>
    <s v="main_001_basic_agent"/>
    <s v=""/>
    <n v="20"/>
    <x v="1"/>
    <x v="2"/>
    <s v="Disaster recovery strategy"/>
  </r>
  <r>
    <n v="1780605256470"/>
    <s v="main_001"/>
    <n v="1"/>
    <x v="1"/>
    <d v="2026-06-04T23:34:16"/>
    <s v="Design a multi-region disaster recovery strategy for a financial institution_x000a_"/>
    <s v="{_x000a_  &quot;task_id&quot;: &quot;1&quot;,_x000a_  &quot;answer&quot;: &quo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quot;,_x000a_  &quot;execution_summary&quot;: &quo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quot;,_x000a_  &quot;confidence&quot;: 0.95_x000a_}"/>
    <s v="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s v="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n v="0.95"/>
    <m/>
    <n v="0"/>
    <n v="0"/>
    <n v="0"/>
    <b v="1"/>
    <s v="main_001_planner_executor"/>
    <s v=""/>
    <n v="20"/>
    <x v="1"/>
    <x v="2"/>
    <s v="Disaster recovery strategy"/>
  </r>
  <r>
    <n v="1780605280827"/>
    <s v="main_001"/>
    <n v="1"/>
    <x v="2"/>
    <d v="2026-06-04T23:34:41"/>
    <s v="Design a multi-region disaster recovery strategy for a financial institution_x000a_"/>
    <s v="{_x000a_  &quot;task_id&quot;: &quot;1&quot;,_x000a_  &quot;quality_score&quot;: 0.92,_x000a_  &quot;review_notes&quot;: &quo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quot;,_x000a_  &quot;final_answer&quot;: &quo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quot;,_x000a_  &quot;confidence&quot;: 0.98_x000a_}"/>
    <s v="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s v="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n v="0.98"/>
    <n v="0.92"/>
    <n v="0"/>
    <n v="0"/>
    <n v="0"/>
    <b v="1"/>
    <s v="main_001_planner_executor_reviewer"/>
    <s v="strict_v1"/>
    <n v="20"/>
    <x v="1"/>
    <x v="2"/>
    <s v="Disaster recovery strategy"/>
  </r>
  <r>
    <n v="1780634787426"/>
    <s v="main_001"/>
    <n v="1"/>
    <x v="0"/>
    <d v="2026-06-05T07:46:27"/>
    <s v="Write a Python function to read a CSV file and count rows_x000a_"/>
    <s v="{_x000a_  &quot;task_id&quot;: &quot;1&quot;,_x000a_  &quot;answer&quot;: &quot;import csv\n\ndef count_rows(file_path):\n    with open(file_path, 'r', encoding='utf-8') as f:\n        reader = csv.reader(f)\n        return sum(1 for row in reader)&quot;,_x000a_  &quot;execution_summary&quot;: &quot;Defined a Python function that opens a CSV file in read mode and uses a generator expression within the sum() function to count the total number of rows efficiently.&quot;,_x000a_  &quot;confidence&quot;: 1.0_x000a_}"/>
    <s v="import csv_x000a__x000a_def count_rows(file_path):_x000a_    with open(file_path, 'r', encoding='utf-8') as f:_x000a_        reader = csv.reader(f)_x000a_        return sum(1 for row in reader)"/>
    <s v="Defined a Python function that opens a CSV file in read mode and uses a generator expression within the sum() function to count the total number of rows efficiently."/>
    <n v="1"/>
    <m/>
    <n v="0"/>
    <n v="0"/>
    <n v="0"/>
    <b v="1"/>
    <s v="main_001_basic_agent"/>
    <s v=""/>
    <n v="21"/>
    <x v="2"/>
    <x v="0"/>
    <s v="Python code"/>
  </r>
  <r>
    <n v="1780634801127"/>
    <s v="main_001"/>
    <n v="1"/>
    <x v="1"/>
    <d v="2026-06-05T07:46:41"/>
    <s v="Write a Python function to read a CSV file and count rows_x000a_"/>
    <s v="{_x000a_  &quot;task_id&quot;: &quot;1&quot;,_x000a_  &quot;answer&quot;: &quot;import csv\n\ndef count_csv_rows(file_path):\n    with open(file_path, mode='r', newline='', encoding='utf-8') as file:\n        reader = csv.reader(file)\n        return sum(1 for row in reader)&quot;,_x000a_  &quot;execution_summary&quot;: &quot;Implemented a Python function using the 'csv' module and a generator expression within the 'sum()' function to efficiently count the rows in a CSV file while ensuring proper resource management with a 'with' statement.&quot;,_x000a_  &quot;confidence&quot;: 1.0_x000a_}"/>
    <s v="import csv_x000a__x000a_def count_csv_rows(file_path):_x000a_    with open(file_path, mode='r', newline='', encoding='utf-8') as file:_x000a_        reader = csv.reader(file)_x000a_        return sum(1 for row in reader)"/>
    <s v="Implemented a Python function using the 'csv' module and a generator expression within the 'sum()' function to efficiently count the rows in a CSV file while ensuring proper resource management with a 'with' statement."/>
    <n v="1"/>
    <m/>
    <n v="0"/>
    <n v="0"/>
    <n v="0"/>
    <b v="1"/>
    <s v="main_001_planner_executor"/>
    <s v=""/>
    <n v="21"/>
    <x v="2"/>
    <x v="0"/>
    <s v="Python code"/>
  </r>
  <r>
    <n v="1780634817329"/>
    <s v="main_001"/>
    <n v="1"/>
    <x v="2"/>
    <d v="2026-06-05T07:46:57"/>
    <s v="Write a Python function to read a CSV file and count rows_x000a_"/>
    <s v="{_x000a_  &quot;task_id&quot;: &quot;1&quot;,_x000a_  &quot;quality_score&quot;: 0.85,_x000a_  &quot;review_notes&quot;: &quo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quot;,_x000a_  &quot;final_answer&quot;: &quot;import csv\n\ndef count_rows(file_path, has_header=True):\n    with open(file_path, 'r', newline='') as csvfile:\n        reader = csv.reader(csvfile)\n        if has_header:\n            next(reader, None)  # Skip header\n        return sum(1 for row in reader) # Memory-efficient iteration&quot;,_x000a_  &quot;confidence&quot;: 1.0_x000a_}"/>
    <s v="import csv_x000a__x000a_def count_rows(file_path, has_header=True):_x000a_    with open(file_path, 'r', newline='') as csvfile:_x000a_        reader = csv.reader(csvfile)_x000a_        if has_header:_x000a_            next(reader, None)  # Skip header_x000a_        return sum(1 for row in reader) # Memory-efficient iteration"/>
    <s v="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n v="1"/>
    <n v="0.85"/>
    <n v="0"/>
    <n v="0"/>
    <n v="0"/>
    <b v="1"/>
    <s v="main_001_planner_executor_reviewer"/>
    <s v="strict_v1"/>
    <n v="21"/>
    <x v="2"/>
    <x v="0"/>
    <s v="Python code"/>
  </r>
  <r>
    <n v="1780634841289"/>
    <s v="main_001"/>
    <n v="1"/>
    <x v="0"/>
    <d v="2026-06-05T07:47:21"/>
    <s v="Explain an SQL query that joins customers and orders_x000a_"/>
    <s v="{_x000a_  &quot;task_id&quot;: &quot;1&quot;,_x000a_  &quot;answer&quot;: &quot;SELECT customers.name, orders.order_id FROM customers JOIN orders ON customers.customer_id = orders.customer_id;&quot;,_x000a_  &quot;execution_summary&quot;: &quot;The query uses an INNER JOIN to combine rows from the 'customers' and 'orders' tables based on a matching 'customer_id' column found in both tables, returning only the records where a relationship exists.&quot;,_x000a_  &quot;confidence&quot;: 1.0_x000a_}"/>
    <s v="SELECT customers.name, orders.order_id FROM customers JOIN orders ON customers.customer_id = orders.customer_id;"/>
    <s v="The query uses an INNER JOIN to combine rows from the 'customers' and 'orders' tables based on a matching 'customer_id' column found in both tables, returning only the records where a relationship exists."/>
    <n v="1"/>
    <m/>
    <n v="0"/>
    <n v="0"/>
    <n v="0"/>
    <b v="1"/>
    <s v="main_001_basic_agent"/>
    <s v=""/>
    <n v="22"/>
    <x v="2"/>
    <x v="0"/>
    <s v="SQL explanation"/>
  </r>
  <r>
    <n v="1780634854354"/>
    <s v="main_001"/>
    <n v="1"/>
    <x v="1"/>
    <d v="2026-06-05T07:47:34"/>
    <s v="Explain an SQL query that joins customers and orders_x000a_"/>
    <s v="{_x000a_  &quot;task_id&quot;: &quot;1&quot;,_x000a_  &quot;answer&quot;: &quo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quot;,_x000a_  &quot;execution_summary&quot;: &quot;The process involved identifying the common key, structuring the SELECT, FROM, and JOIN clauses, and defining the relationship via the ON clause. A complete example was provided to illustrate the result set generation, where rows from both tables are matched based on the shared ID.&quot;,_x000a_  &quot;confidence&quot;: 1.0_x000a_}"/>
    <s v="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_x000a__x000a_Example code:_x000a_SELECT customers.name, orders.order_date_x000a_FROM customers_x000a_INNER JOIN orders ON customers.customer_id = orders.customer_id;"/>
    <s v="The process involved identifying the common key, structuring the SELECT, FROM, and JOIN clauses, and defining the relationship via the ON clause. A complete example was provided to illustrate the result set generation, where rows from both tables are matched based on the shared ID."/>
    <n v="1"/>
    <m/>
    <n v="0"/>
    <n v="0"/>
    <n v="0"/>
    <b v="1"/>
    <s v="main_001_planner_executor"/>
    <s v=""/>
    <n v="22"/>
    <x v="2"/>
    <x v="0"/>
    <s v="SQL explanation"/>
  </r>
  <r>
    <n v="1780634871339"/>
    <s v="main_001"/>
    <n v="1"/>
    <x v="2"/>
    <d v="2026-06-05T07:47:51"/>
    <s v="Explain an SQL query that joins customers and orders_x000a_"/>
    <s v="{_x000a_  &quot;task_id&quot;: &quot;1&quot;,_x000a_  &quot;quality_score&quot;: 1.0,_x000a_  &quot;review_notes&quot;: &quot;The response is accurate, technically sound, and provides a clear pedagogical breakdown of the SQL join mechanism. It correctly identifies the schema, the syntax, and the logical implications of using an INNER JOIN.&quot;,_x000a_  &quot;final_answer&quot;: &quot;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quot;,_x000a_  &quot;confidence&quot;: 1.0_x000a_}"/>
    <s v="To perform an INNER JOIN between a 'customers' table and an 'orders' table, you link them using a shared key, typically 'customer_id'. _x000a__x000a_Query Example:_x000a_SELECT customers.name, orders.order_id _x000a_FROM customers _x000a_INNER JOIN orders ON customers.customer_id = orders.customer_id;_x000a__x000a_1. Structure: 'customers' contains (customer_id, name, email); 'orders' contains (order_id, customer_id, amount)._x000a_2. SELECT: This clause identifies the specific columns (e.g., customer name and order ID) to display in the result set._x000a_3. JOIN/ON: The 'INNER JOIN' keyword combines the tables, and the 'ON' clause acts as the filter, matching rows where the customer_id in the 'customers' table equals the customer_id in the 'orders' table._x000a_4. Output: The result provides a unified list where each row represents a customer paired with their specific order, excluding customers who have not placed any orders."/>
    <s v="The response is accurate, technically sound, and provides a clear pedagogical breakdown of the SQL join mechanism. It correctly identifies the schema, the syntax, and the logical implications of using an INNER JOIN."/>
    <n v="1"/>
    <n v="1"/>
    <n v="0"/>
    <n v="0"/>
    <n v="0"/>
    <b v="1"/>
    <s v="main_001_planner_executor_reviewer"/>
    <s v="strict_v1"/>
    <n v="22"/>
    <x v="2"/>
    <x v="0"/>
    <s v="SQL explanation"/>
  </r>
  <r>
    <n v="1780635142656"/>
    <s v="main_001"/>
    <n v="1"/>
    <x v="0"/>
    <d v="2026-06-05T07:52:23"/>
    <s v="Review a Python function and suggest improvements_x000a_"/>
    <s v="{_x000a_  &quot;task_id&quot;: &quot;1&quot;,_x000a_  &quot;answer&quot;: &quot;To provide specific improvements, please provide the Python code you would like me to review. Once provided, I will focus on optimizing time/space complexity, enhancing readability (PEP 8), implementing type hinting, and adding robust error handling.&quot;,_x000a_  &quot;execution_summary&quot;: &quot;Awaiting user input for the target Python code to initiate the review process.&quot;,_x000a_  &quot;confidence&quot;: 1.0_x000a_}"/>
    <s v="To provide specific improvements, please provide the Python code you would like me to review. Once provided, I will focus on optimizing time/space complexity, enhancing readability (PEP 8), implementing type hinting, and adding robust error handling."/>
    <s v="Awaiting user input for the target Python code to initiate the review process."/>
    <n v="1"/>
    <m/>
    <n v="0"/>
    <n v="0"/>
    <n v="0"/>
    <b v="1"/>
    <s v="main_001_basic_agent"/>
    <s v=""/>
    <n v="23"/>
    <x v="2"/>
    <x v="1"/>
    <s v="Code review"/>
  </r>
  <r>
    <n v="1780635153411"/>
    <s v="main_001"/>
    <n v="1"/>
    <x v="1"/>
    <d v="2026-06-05T07:52:33"/>
    <s v="Review a Python function and suggest improvements_x000a_"/>
    <s v="{_x000a_  &quot;task_id&quot;: &quot;1&quot;,_x000a_  &quot;answer&quot;: &quot;Please provide the Python function you would like me to review. Once you share the code, I will proceed with the analysis, identify optimization opportunities, ensure PEP 8 compliance, and provide a refactored version with a detailed explanation of the changes.&quot;,_x000a_  &quot;execution_summary&quot;: &quot;Initialized the execution process and issued a request for the target Python function to begin the analysis and optimization workflow.&quot;,_x000a_  &quot;confidence&quot;: 1.0_x000a_}"/>
    <s v="Please provide the Python function you would like me to review. Once you share the code, I will proceed with the analysis, identify optimization opportunities, ensure PEP 8 compliance, and provide a refactored version with a detailed explanation of the changes."/>
    <s v="Initialized the execution process and issued a request for the target Python function to begin the analysis and optimization workflow."/>
    <n v="1"/>
    <m/>
    <n v="0"/>
    <n v="0"/>
    <n v="0"/>
    <b v="1"/>
    <s v="main_001_planner_executor"/>
    <s v=""/>
    <n v="23"/>
    <x v="2"/>
    <x v="1"/>
    <s v="Code review"/>
  </r>
  <r>
    <n v="1780635164675"/>
    <s v="main_001"/>
    <n v="1"/>
    <x v="2"/>
    <d v="2026-06-05T07:52:45"/>
    <s v="Review a Python function and suggest improvements_x000a_"/>
    <s v="{_x000a_  &quot;task_id&quot;: &quot;1&quot;,_x000a_  &quot;quality_score&quot;: 0.95,_x000a_  &quot;review_notes&quot;: &quo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quot;,_x000a_  &quot;final_answer&quot;: &quot;The response correctly identifies the prerequisite condition required to execute the task. It maintains a professional tone and clearly communicates the next steps for the user.&quot;,_x000a_  &quot;confidence&quot;: 1.0_x000a_}"/>
    <s v="The response correctly identifies the prerequisite condition required to execute the task. It maintains a professional tone and clearly communicates the next steps for the user."/>
    <s v="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n v="1"/>
    <n v="0.95"/>
    <n v="0"/>
    <n v="0"/>
    <n v="0"/>
    <b v="1"/>
    <s v="main_001_planner_executor_reviewer"/>
    <s v="strict_v1"/>
    <n v="23"/>
    <x v="2"/>
    <x v="1"/>
    <s v="Code review"/>
  </r>
  <r>
    <n v="1780635988192"/>
    <s v="main_001"/>
    <n v="1"/>
    <x v="0"/>
    <d v="2026-06-05T08:06:28"/>
    <s v="Generate a Gemini API integration plan for n8n_x000a_"/>
    <s v="{_x000a_  &quot;task_id&quot;: &quot;1&quot;,_x000a_  &quot;answer&quot;: &quo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quot;,_x000a_  &quot;execution_summary&quot;: &quot;Created a high-level integration roadmap for connecting Google Gemini to n8n workflows, focusing on authentication, node configuration, and workflow automation.&quot;,_x000a_  &quot;confidence&quot;: 1.0_x000a_}"/>
    <s v="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s v="Created a high-level integration roadmap for connecting Google Gemini to n8n workflows, focusing on authentication, node configuration, and workflow automation."/>
    <n v="1"/>
    <m/>
    <n v="0"/>
    <n v="0"/>
    <n v="0"/>
    <b v="1"/>
    <s v="main_001_basic_agent"/>
    <s v=""/>
    <n v="24"/>
    <x v="2"/>
    <x v="1"/>
    <s v="Integration plan"/>
  </r>
  <r>
    <n v="1780636001823"/>
    <s v="main_001"/>
    <n v="1"/>
    <x v="1"/>
    <d v="2026-06-05T08:06:42"/>
    <s v="Generate a Gemini API integration plan for n8n_x000a_"/>
    <s v="{_x000a_  &quot;task_id&quot;: &quot;1&quot;,_x000a_  &quot;answer&quot;: &quo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quot;,_x000a_  &quot;execution_summary&quot;: &quot;Successfully authenticated the Gemini API, built a functional pipeline from webhook trigger to AI response, and verified JSON output parsing.&quot;,_x000a_  &quot;confidence&quot;: 0.95_x000a_}"/>
    <s v="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s v="Successfully authenticated the Gemini API, built a functional pipeline from webhook trigger to AI response, and verified JSON output parsing."/>
    <n v="0.95"/>
    <m/>
    <n v="0"/>
    <n v="0"/>
    <n v="0"/>
    <b v="1"/>
    <s v="main_001_planner_executor"/>
    <s v=""/>
    <n v="24"/>
    <x v="2"/>
    <x v="1"/>
    <s v="Integration plan"/>
  </r>
  <r>
    <n v="1780636024992"/>
    <s v="main_001"/>
    <n v="1"/>
    <x v="2"/>
    <d v="2026-06-05T08:07:05"/>
    <s v="Generate a Gemini API integration plan for n8n_x000a_"/>
    <s v="{_x000a_  &quot;task_id&quot;: &quot;1&quot;,_x000a_  &quot;quality_score&quot;: 0.4,_x000a_  &quot;review_notes&quot;: &quo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quot;,_x000a_  &quot;final_answer&quot;: &quo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quot;,_x000a_  &quot;confidence&quot;: 0.9_x000a_}"/>
    <s v="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s v="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n v="0.9"/>
    <n v="0.4"/>
    <n v="0"/>
    <n v="0"/>
    <n v="0"/>
    <b v="1"/>
    <s v="main_001_planner_executor_reviewer"/>
    <s v="strict_v1"/>
    <n v="24"/>
    <x v="2"/>
    <x v="1"/>
    <s v="Integration plan"/>
  </r>
  <r>
    <n v="1780636134963"/>
    <s v="main_001"/>
    <n v="1"/>
    <x v="0"/>
    <d v="2026-06-05T08:08:55"/>
    <s v="Create pseudocode for a planner executor reviewer agent_x000a_"/>
    <s v="{_x000a_  &quot;task_id&quot;: &quot;1&quot;,_x000a_  &quot;answer&quot;: &quot;function AgentLoop(task):\n  plan = Planner(task)\n  while not goal_achieved:\n    action = Executor(plan)\n    result = Environment.execute(action)\n    feedback = Reviewer(result, plan)\n    if feedback.is_rejected:\n      plan = Planner(task, feedback)\n    else:\n      plan.update(result)&quot;,_x000a_  &quot;execution_summary&quot;: &quot;Defined a cyclic agent architecture consisting of a Planner (strategy generation), Executor (action mapping), and Reviewer (validation/correction), maintaining state via feedback loops.&quot;,_x000a_  &quot;confidence&quot;: 1.0_x000a_}"/>
    <s v="function AgentLoop(task):_x000a_  plan = Planner(task)_x000a_  while not goal_achieved:_x000a_    action = Executor(plan)_x000a_    result = Environment.execute(action)_x000a_    feedback = Reviewer(result, plan)_x000a_    if feedback.is_rejected:_x000a_      plan = Planner(task, feedback)_x000a_    else:_x000a_      plan.update(result)"/>
    <s v="Defined a cyclic agent architecture consisting of a Planner (strategy generation), Executor (action mapping), and Reviewer (validation/correction), maintaining state via feedback loops."/>
    <n v="1"/>
    <m/>
    <n v="0"/>
    <n v="0"/>
    <n v="0"/>
    <b v="1"/>
    <s v="main_001_basic_agent"/>
    <s v=""/>
    <n v="25"/>
    <x v="2"/>
    <x v="1"/>
    <s v="Pseudocode"/>
  </r>
  <r>
    <n v="1780636146258"/>
    <s v="main_001"/>
    <n v="1"/>
    <x v="1"/>
    <d v="2026-06-05T08:09:06"/>
    <s v="Create pseudocode for a planner executor reviewer agent_x000a_"/>
    <s v="{_x000a_  &quot;task_id&quot;: &quot;1&quot;,_x000a_  &quot;answer&quot;: &quot;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quot;Failure: Max iterations reached.\&quot;\n\nmodule Planner:\n    function generate_plan(prompt, objective): ...\n    function refine_plan(old_steps, feedback): ...\n\nmodule Executor:\n    function execute(steps): ...\n\nmodule Reviewer:\n    function evaluate(output, objective): returns {is_successful, feedback}&quot;,_x000a_  &quot;execution_summary&quot;: &quot;Defined the agent architecture using a modular approach with a control loop that enables iterative refinement. The pseudocode captures the interaction between the Planner (sequence generation), Executor (action performance), and Reviewer (validation).&quot;,_x000a_  &quot;confidence&quot;: 1.0_x000a_}"/>
    <s v="function AgentSystem(prompt, objective):_x000a_    steps = Planner.generate_plan(prompt, objective)_x000a_    max_attempts = 3_x000a_    attempt = 0_x000a_    _x000a_    while attempt &lt; max_attempts:_x000a_        execution_result = Executor.execute(steps)_x000a_        evaluation = Reviewer.evaluate(execution_result, objective)_x000a_        _x000a_        if evaluation.is_successful:_x000a_            return execution_result_x000a_        else:_x000a_            steps = Planner.refine_plan(steps, evaluation.feedback)_x000a_            attempt += 1_x000a_            _x000a_    return &quot;Failure: Max iterations reached.&quot;_x000a__x000a_module Planner:_x000a_    function generate_plan(prompt, objective): ..._x000a_    function refine_plan(old_steps, feedback): ..._x000a__x000a_module Executor:_x000a_    function execute(steps): ..._x000a__x000a_module Reviewer:_x000a_    function evaluate(output, objective): returns {is_successful, feedback}"/>
    <s v="Defined the agent architecture using a modular approach with a control loop that enables iterative refinement. The pseudocode captures the interaction between the Planner (sequence generation), Executor (action performance), and Reviewer (validation)."/>
    <n v="1"/>
    <m/>
    <n v="0"/>
    <n v="0"/>
    <n v="0"/>
    <b v="1"/>
    <s v="main_001_planner_executor"/>
    <s v=""/>
    <n v="25"/>
    <x v="2"/>
    <x v="1"/>
    <s v="Pseudocode"/>
  </r>
  <r>
    <n v="1780636167836"/>
    <s v="main_001"/>
    <n v="1"/>
    <x v="2"/>
    <d v="2026-06-05T08:09:28"/>
    <s v="Create pseudocode for a planner executor reviewer agent_x000a_"/>
    <s v="{_x000a_  &quot;task_id&quot;: &quot;1&quot;,_x000a_  &quot;quality_score&quot;: 0.95,_x000a_  &quot;review_notes&quot;: &quo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quot;,_x000a_  &quot;final_answer&quot;: &quot;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quot;,_x000a_  &quot;confidence&quot;: 1.0_x000a_}"/>
    <s v="class Agent:_x000a_    def run(objective):_x000a_        plan = Planner.create(objective)_x000a_        is_finished = False_x000a_        while not is_finished:_x000a_            for step in plan:_x000a_                output = Executor.execute(step)_x000a_                feedback = Reviewer.evaluate(output, objective)_x000a_                if feedback.needs_replan:_x000a_                    plan = Planner.refine(plan, feedback)_x000a_                    break_x000a_                if feedback.is_complete:_x000a_                    is_finished = True_x000a__x000a_module Planner:_x000a_    def create(objective): return decompose(objective)_x000a_    def refine(plan, feedback): return update_plan(plan, feedback)_x000a__x000a_module Executor:_x000a_    def execute(step): return run_tool(step)_x000a__x000a_module Reviewer:_x000a_    def evaluate(output, objective): return validate(output, objective)"/>
    <s v="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n v="1"/>
    <n v="0.95"/>
    <n v="0"/>
    <n v="0"/>
    <n v="0"/>
    <b v="1"/>
    <s v="main_001_planner_executor_reviewer"/>
    <s v="strict_v1"/>
    <n v="25"/>
    <x v="2"/>
    <x v="1"/>
    <s v="Pseudocode"/>
  </r>
  <r>
    <n v="1780637184549"/>
    <s v="main_001"/>
    <n v="1"/>
    <x v="0"/>
    <d v="2026-06-05T08:26:25"/>
    <s v="Debug a JavaScript function with a logical error_x000a_"/>
    <s v="{_x000a_  &quot;task_id&quot;: &quot;1&quot;,_x000a_  &quot;answer&quot;: &quot;The logical error often involves incorrect boolean comparisons or scope issues. Example: 'if (x = 5)' should be 'if (x === 5)'.&quot;,_x000a_  &quot;execution_summary&quot;: &quot;Identified common pitfalls in conditional logic and operator precedence in JavaScript functions.&quot;,_x000a_  &quot;confidence&quot;: 1.0_x000a_}"/>
    <s v="The logical error often involves incorrect boolean comparisons or scope issues. Example: 'if (x = 5)' should be 'if (x === 5)'."/>
    <s v="Identified common pitfalls in conditional logic and operator precedence in JavaScript functions."/>
    <n v="1"/>
    <m/>
    <n v="0"/>
    <n v="0"/>
    <n v="0"/>
    <b v="1"/>
    <s v="main_001_basic_agent"/>
    <s v=""/>
    <n v="26"/>
    <x v="2"/>
    <x v="2"/>
    <s v="Debugging report"/>
  </r>
  <r>
    <n v="1780637204715"/>
    <s v="main_001"/>
    <n v="1"/>
    <x v="1"/>
    <d v="2026-06-05T08:26:45"/>
    <s v="Debug a JavaScript function with a logical error_x000a_"/>
    <s v="{_x000a_  &quot;task_id&quot;: &quot;1&quot;,_x000a_  &quot;answer&quot;: &quot;function findFirstPositive(arr) {\n  for (let i = 0; i &lt; arr.length; i++) {\n    if (arr[i] &gt; 0) {\n      return arr[i];\n    }\n  }\n  return null;\n}&quot;,_x000a_  &quot;execution_summary&quot;: &quo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quot;,_x000a_  &quot;confidence&quot;: 1.0_x000a_}"/>
    <s v="function findFirstPositive(arr) {_x000a_  for (let i = 0; i &lt; arr.length; i++) {_x000a_    if (arr[i] &gt; 0) {_x000a_      return arr[i];_x000a_    }_x000a_  }_x000a_  return null;_x000a_}"/>
    <s v="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n v="1"/>
    <m/>
    <n v="0"/>
    <n v="0"/>
    <n v="0"/>
    <b v="1"/>
    <s v="main_001_planner_executor"/>
    <s v=""/>
    <n v="26"/>
    <x v="2"/>
    <x v="2"/>
    <s v="Debugging report"/>
  </r>
  <r>
    <n v="1780637219139"/>
    <s v="main_001"/>
    <n v="1"/>
    <x v="2"/>
    <d v="2026-06-05T08:26:59"/>
    <s v="Debug a JavaScript function with a logical error_x000a_"/>
    <s v="{_x000a_  &quot;task_id&quot;: &quot;1&quot;,_x000a_  &quot;quality_score&quot;: 0.95,_x000a_  &quot;review_notes&quot;: &quo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quot;,_x000a_  &quot;final_answer&quot;: &quo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quot;,_x000a_  &quot;confidence&quot;: 1.0_x000a_}"/>
    <s v="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s v="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n v="1"/>
    <n v="0.95"/>
    <n v="0"/>
    <n v="0"/>
    <n v="0"/>
    <b v="1"/>
    <s v="main_001_planner_executor_reviewer"/>
    <s v="strict_v1"/>
    <n v="26"/>
    <x v="2"/>
    <x v="2"/>
    <s v="Debugging report"/>
  </r>
  <r>
    <n v="1780637310429"/>
    <s v="main_001"/>
    <n v="1"/>
    <x v="0"/>
    <d v="2026-06-05T08:28:30"/>
    <s v="Design a database schema for experiment logging_x000a_"/>
    <s v="{_x000a_  &quot;task_id&quot;: &quot;1&quot;,_x000a_  &quot;answer&quot;: &quot;{\&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quot;,_x000a_  &quot;execution_summary&quot;: &quot;Designed a normalized schema featuring four primary tables: experiments (grouping), runs (execution instances), metrics (time-series logging), and artifacts (file references). Used JSONB for parameter flexibility and UUIDs for primary keys to support distributed logging.&quot;,_x000a_  &quot;confidence&quot;: 1.0_x000a_}"/>
    <s v="{&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
    <s v="Designed a normalized schema featuring four primary tables: experiments (grouping), runs (execution instances), metrics (time-series logging), and artifacts (file references). Used JSONB for parameter flexibility and UUIDs for primary keys to support distributed logging."/>
    <n v="1"/>
    <m/>
    <n v="0"/>
    <n v="0"/>
    <n v="0"/>
    <b v="1"/>
    <s v="main_001_basic_agent"/>
    <s v=""/>
    <n v="27"/>
    <x v="2"/>
    <x v="2"/>
    <s v="Database schema"/>
  </r>
  <r>
    <n v="1780637334917"/>
    <s v="main_001"/>
    <n v="1"/>
    <x v="1"/>
    <d v="2026-06-05T08:28:55"/>
    <s v="Design a database schema for experiment logging_x000a_"/>
    <s v="{_x000a_  &quot;task_id&quot;: &quot;1&quot;,_x000a_  &quot;answer&quot;: &quot;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quot;,_x000a_  &quot;execution_summary&quot;: &quo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quot;,_x000a_  &quot;confidence&quot;: 1.0_x000a_}"/>
    <s v="CREATE TABLE experiments (experiment_id UUID PRIMARY KEY, name TEXT NOT NULL, description TEXT, created_at TIMESTAMP WITH TIME ZONE DEFAULT CURRENT_TIMESTAMP);_x000a__x000a_CREATE TABLE runs (run_id UUID PRIMARY KEY, experiment_id UUID REFERENCES experiments(experiment_id), status TEXT, start_time TIMESTAMP WITH TIME ZONE, end_time TIMESTAMP WITH TIME ZONE, config JSONB);_x000a__x000a_CREATE TABLE parameters (param_id UUID PRIMARY KEY, run_id UUID REFERENCES runs(run_id), key TEXT NOT NULL, value TEXT);_x000a__x000a_CREATE TABLE metrics (metric_id UUID PRIMARY KEY, run_id UUID REFERENCES runs(run_id), name TEXT NOT NULL, value NUMERIC, timestamp TIMESTAMP WITH TIME ZONE DEFAULT CURRENT_TIMESTAMP);_x000a__x000a_CREATE INDEX idx_exp_name ON experiments(name);_x000a_CREATE INDEX idx_run_status ON runs(status);_x000a_CREATE INDEX idx_metrics_run_time ON metrics(run_id, timestamp);"/>
    <s v="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n v="1"/>
    <m/>
    <n v="0"/>
    <n v="0"/>
    <n v="0"/>
    <b v="1"/>
    <s v="main_001_planner_executor"/>
    <s v=""/>
    <n v="27"/>
    <x v="2"/>
    <x v="2"/>
    <s v="Database schema"/>
  </r>
  <r>
    <n v="1780637350432"/>
    <s v="main_001"/>
    <n v="1"/>
    <x v="2"/>
    <d v="2026-06-05T08:29:10"/>
    <s v="Design a database schema for experiment logging_x000a_"/>
    <s v="{_x000a_  &quot;task_id&quot;: &quot;1&quot;,_x000a_  &quot;quality_score&quot;: 0.95,_x000a_  &quot;review_notes&quot;: &quo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quot;,_x000a_  &quot;final_answer&quot;: &quo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quot;,_x000a_  &quot;confidence&quot;: 1.0_x000a_}"/>
    <s v="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s v="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n v="1"/>
    <n v="0.95"/>
    <n v="0"/>
    <n v="0"/>
    <n v="0"/>
    <b v="1"/>
    <s v="main_001_planner_executor_reviewer"/>
    <s v="strict_v1"/>
    <n v="27"/>
    <x v="2"/>
    <x v="2"/>
    <s v="Database schema"/>
  </r>
  <r>
    <n v="1780637766559"/>
    <s v="main_001"/>
    <n v="1"/>
    <x v="0"/>
    <d v="2026-06-05T08:36:07"/>
    <s v="Create test cases for a REST API endpoint_x000a_"/>
    <s v="{_x000a_  &quot;task_id&quot;: &quot;1&quot;,_x000a_  &quot;answer&quot;: &quot;Test cases for GET /users/{id}: 1. Valid ID: Returns 200 OK with correct user data. 2. Non-existent ID: Returns 404 Not Found. 3. Invalid format (e.g., string instead of int): Returns 400 Bad Request. 4. Unauthorized access: Returns 401 Unauthorized. 5. Rate limiting: Returns 429 Too Many Requests.&quot;,_x000a_  &quot;execution_summary&quot;: &quot;Defined comprehensive functional and negative test cases for a standard REST user retrieval endpoint.&quot;,_x000a_  &quot;confidence&quot;: 1.0_x000a_}"/>
    <s v="Test cases for GET /users/{id}: 1. Valid ID: Returns 200 OK with correct user data. 2. Non-existent ID: Returns 404 Not Found. 3. Invalid format (e.g., string instead of int): Returns 400 Bad Request. 4. Unauthorized access: Returns 401 Unauthorized. 5. Rate limiting: Returns 429 Too Many Requests."/>
    <s v="Defined comprehensive functional and negative test cases for a standard REST user retrieval endpoint."/>
    <n v="1"/>
    <m/>
    <n v="0"/>
    <n v="0"/>
    <n v="0"/>
    <b v="1"/>
    <s v="main_001_basic_agent"/>
    <s v=""/>
    <n v="28"/>
    <x v="2"/>
    <x v="2"/>
    <s v="Test cases"/>
  </r>
  <r>
    <n v="1780637782144"/>
    <s v="main_001"/>
    <n v="1"/>
    <x v="1"/>
    <d v="2026-06-05T08:36:22"/>
    <s v="Create test cases for a REST API endpoint_x000a_"/>
    <s v="{_x000a_  &quot;task_id&quot;: &quot;1&quot;,_x000a_  &quot;answer&quot;: &quot;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quot;,_x000a_  &quot;execution_summary&quot;: &quot;Defined a comprehensive suite of test cases categorized by functional, security, and performance criteria for a representative REST API endpoint.&quot;,_x000a_  &quot;confidence&quot;: 1.0_x000a_}"/>
    <s v="Test Suite for REST API Endpoint: POST /api/v1/users_x000a__x000a_1. Positive Cases:_x000a_- Create user with all required fields (201 Created)._x000a_- Create user with optional fields included (201 Created)._x000a__x000a_2. Negative Cases:_x000a_- Unauthorized access (no token) (401 Unauthorized)._x000a_- Missing mandatory fields (e.g., email) (400 Bad Request)._x000a_- Malformed JSON payload (400 Bad Request)._x000a__x000a_3. Boundary Value Cases:_x000a_- Username at minimum length (e.g., 1 char) and maximum length (e.g., 50 chars)._x000a_- Empty payload body (400 Bad Request)._x000a_- Extremely large input for fields (413 Payload Too Large)._x000a__x000a_4. Error Handling Cases:_x000a_- Resource conflict (e.g., duplicate email) (409 Conflict)._x000a_- Method not allowed (e.g., sending PUT to this endpoint) (405 Method Not Allowed)._x000a_- Simulated database failure (500 Internal Server Error)._x000a__x000a_5. Schema/Data Type Validation:_x000a_- Field type mismatch (e.g., integer in 'email' field) (422 Unprocessable Entity)._x000a_- Invalid format (e.g., invalid email syntax) (422 Unprocessable Entity)._x000a__x000a_6. Performance/Security:_x000a_- Response time under 200ms threshold._x000a_- Rate limiting check (send 100 requests in 1 sec) (429 Too Many Requests)._x000a_- SQL injection/XSS payload detection in input strings (400 Bad Request)."/>
    <s v="Defined a comprehensive suite of test cases categorized by functional, security, and performance criteria for a representative REST API endpoint."/>
    <n v="1"/>
    <m/>
    <n v="0"/>
    <n v="0"/>
    <n v="0"/>
    <b v="1"/>
    <s v="main_001_planner_executor"/>
    <s v=""/>
    <n v="28"/>
    <x v="2"/>
    <x v="2"/>
    <s v="Test cases"/>
  </r>
  <r>
    <n v="1780637799178"/>
    <s v="main_001"/>
    <n v="1"/>
    <x v="2"/>
    <d v="2026-06-05T08:36:39"/>
    <s v="Create test cases for a REST API endpoint_x000a_"/>
    <s v="{_x000a_  &quot;task_id&quot;: &quot;1&quot;,_x000a_  &quot;quality_score&quot;: 0.95,_x000a_  &quot;review_notes&quot;: &quo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quot;,_x000a_  &quot;final_answer&quot;: &quot;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quot;,_x000a_  &quot;confidence&quot;: 1.0_x000a_}"/>
    <s v="Comprehensive Test Suite for REST API Endpoint (Example: POST /users):_x000a__x000a_1. Positive Cases:_x000a_   - Create user with valid payload (201 Created)._x000a_   - Create user with minimal required fields only (201 Created)._x000a_   - Validate response body matches schema._x000a__x000a_2. Negative Cases:_x000a_   - Missing mandatory fields (400 Bad Request)._x000a_   - Invalid data types (e.g., string in age field) (400 Bad Request)._x000a_   - Payload exceeds size limit (413 Payload Too Large)._x000a_   - Duplicate unique field values (409 Conflict)._x000a__x000a_3. Error Handling Cases:_x000a_   - Simulate database connection failure (503 Service Unavailable)._x000a_   - Trigger unexpected runtime exceptions (500 Internal Server Error)._x000a__x000a_4. Security/Authorization Cases:_x000a_   - Request without Bearer token (401 Unauthorized)._x000a_   - Request with expired/invalid token (401 Unauthorized)._x000a_   - User with insufficient permissions/scope (403 Forbidden)._x000a_   - Test rate limiting by exceeding quota (429 Too Many Requests)._x000a__x000a_5. Verification:_x000a_   - Check 'Content-Type' header is 'application/json'._x000a_   - Verify database state change via subsequent GET request or DB query."/>
    <s v="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n v="1"/>
    <n v="0.95"/>
    <n v="0"/>
    <n v="0"/>
    <n v="0"/>
    <b v="1"/>
    <s v="main_001_planner_executor_reviewer"/>
    <s v="strict_v1"/>
    <n v="28"/>
    <x v="2"/>
    <x v="2"/>
    <s v="Test cases"/>
  </r>
  <r>
    <n v="1780637843444"/>
    <s v="main_001"/>
    <n v="1"/>
    <x v="0"/>
    <d v="2026-06-05T08:37:23"/>
    <s v="Explain how to measure execution time and latency in n8n_x000a_"/>
    <s v="{_x000a_  &quot;task_id&quot;: &quot;1&quot;,_x000a_  &quot;answer&quot;: &quo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quot;,_x000a_  &quot;execution_summary&quot;: &quot;Explained two methods: using internal metadata/nodes for high-level duration and using JavaScript timestamps within Function nodes for precise latency measurement.&quot;,_x000a_  &quot;confidence&quot;: 1.0_x000a_}"/>
    <s v="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s v="Explained two methods: using internal metadata/nodes for high-level duration and using JavaScript timestamps within Function nodes for precise latency measurement."/>
    <n v="1"/>
    <m/>
    <n v="0"/>
    <n v="0"/>
    <n v="0"/>
    <b v="1"/>
    <s v="main_001_basic_agent"/>
    <s v=""/>
    <n v="29"/>
    <x v="2"/>
    <x v="2"/>
    <s v="Implementation guide"/>
  </r>
  <r>
    <n v="1780637855951"/>
    <s v="main_001"/>
    <n v="1"/>
    <x v="1"/>
    <d v="2026-06-05T08:37:36"/>
    <s v="Explain how to measure execution time and latency in n8n_x000a_"/>
    <s v="{_x000a_  &quot;task_id&quot;: &quot;1&quot;,_x000a_  &quot;answer&quot;: &quot;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quot;,_x000a_  &quot;execution_summary&quot;: &quot;Successfully outlined five core methods for measuring performance in n8n workflows, ranging from basic UI inspection to advanced logging patterns.&quot;,_x000a_  &quot;confidence&quot;: 1.0_x000a_}"/>
    <s v="To measure execution time and latency in n8n, you can utilize the following methods:_x000a__x000a_1. Execution Metadata: n8n automatically tracks the total duration of a workflow execution, which is visible in the 'Executions' tab of the UI. This provides a high-level view of performance._x000a__x000a_2. Code Node Benchmarking: Insert a 'Code' node at the start of a segment and save the timestamp (const start = Date.now()). Insert another at the end and calculate the difference (Date.now() - start). This isolates the latency of specific sub-segments._x000a__x000a_3. HTTP Request Metadata: When using the 'HTTP Request' node, n8n captures response headers. You can access the 'responseMetadata' object in subsequent nodes to inspect the 'duration' or 'time' headers returned by the server, providing accurate network/server latency._x000a__x000a_4. External Monitoring: For production environments, push latency metrics to external observability platforms like Prometheus, ELK, or Datadog via the 'HTTP Request' node to track trends over time._x000a__x000a_5. Workflow Logging Pattern: Create a standard pattern where the first node captures a timestamp (e.g., {{ $now }}) and stores it in a variable. The final node calculates the delta and sends it to a logging service or database (e.g., PostgreSQL or MongoDB) for historical analysis."/>
    <s v="Successfully outlined five core methods for measuring performance in n8n workflows, ranging from basic UI inspection to advanced logging patterns."/>
    <n v="1"/>
    <m/>
    <n v="0"/>
    <n v="0"/>
    <n v="0"/>
    <b v="1"/>
    <s v="main_001_planner_executor"/>
    <s v=""/>
    <n v="29"/>
    <x v="2"/>
    <x v="2"/>
    <s v="Implementation guide"/>
  </r>
  <r>
    <n v="1780637879625"/>
    <s v="main_001"/>
    <n v="1"/>
    <x v="2"/>
    <d v="2026-06-05T08:38:00"/>
    <s v="Explain how to measure execution time and latency in n8n_x000a_"/>
    <s v="{_x000a_  &quot;task_id&quot;: &quot;1&quot;,_x000a_  &quot;quality_score&quot;: 0.95,_x000a_  &quot;review_notes&quot;: &quo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quot;,_x000a_  &quot;final_answer&quot;: &quo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quot;,_x000a_  &quot;confidence&quot;: 1.0_x000a_}"/>
    <s v="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s v="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n v="1"/>
    <n v="0.95"/>
    <n v="0"/>
    <n v="0"/>
    <n v="0"/>
    <b v="1"/>
    <s v="main_001_planner_executor_reviewer"/>
    <s v="strict_v1"/>
    <n v="29"/>
    <x v="2"/>
    <x v="2"/>
    <s v="Implementation guide"/>
  </r>
  <r>
    <n v="1780641143921"/>
    <s v="main_001"/>
    <n v="1"/>
    <x v="0"/>
    <d v="2026-06-05T09:32:24"/>
    <s v="Design a workflow for AI-based ticket triage in an enterprise environment_x000a_"/>
    <s v="{_x000a_  &quot;task_id&quot;: &quot;1&quot;,_x000a_  &quot;answer&quot;: &quo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quot;,_x000a_  &quot;execution_summary&quot;: &quot;Designed a 7-step enterprise ticket triage pipeline focusing on automation, intelligent routing, and continuous improvement through feedback loops.&quot;,_x000a_  &quot;confidence&quot;: 0.95_x000a_}"/>
    <s v="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s v="Designed a 7-step enterprise ticket triage pipeline focusing on automation, intelligent routing, and continuous improvement through feedback loops."/>
    <n v="0.95"/>
    <m/>
    <n v="0"/>
    <n v="0"/>
    <n v="0"/>
    <b v="1"/>
    <s v="main_001_basic_agent"/>
    <s v=""/>
    <n v="30"/>
    <x v="2"/>
    <x v="2"/>
    <s v="Workflow desig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BDE3D-248A-4D5C-B98A-6CEC3AE5A5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7:E61"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confidence" fld="9" subtotal="average" baseField="3" baseItem="0" numFmtId="164"/>
    <dataField name="StdDev of confidence" fld="9" subtotal="stdDev" baseField="3" baseItem="0" numFmtId="164"/>
  </dataFields>
  <formats count="1">
    <format dxfId="66">
      <pivotArea outline="0" collapsedLevelsAreSubtotals="1" fieldPosition="0">
        <references count="1">
          <reference field="4294967294" count="2" selected="0">
            <x v="0"/>
            <x v="1"/>
          </reference>
        </references>
      </pivotArea>
    </format>
  </formats>
  <chartFormats count="6">
    <chartFormat chart="0" format="8"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8" format="17"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41598-09BB-4478-BE66-09D0521375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3:H27"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5">
    <i>
      <x/>
    </i>
    <i i="1">
      <x v="1"/>
    </i>
    <i i="2">
      <x v="2"/>
    </i>
    <i i="3">
      <x v="3"/>
    </i>
    <i i="4">
      <x v="4"/>
    </i>
  </colItems>
  <dataFields count="5">
    <dataField name="Average of confidence" fld="9" subtotal="average" baseField="3" baseItem="0" numFmtId="164"/>
    <dataField name="Min of confidence" fld="9" subtotal="min" baseField="3" baseItem="0" numFmtId="164"/>
    <dataField name="Max of confidence" fld="9" subtotal="max" baseField="3" baseItem="0" numFmtId="164"/>
    <dataField name="StdDev of confidence" fld="9" subtotal="stdDev" baseField="3" baseItem="0" numFmtId="164"/>
    <dataField name="Count of confidence" fld="9" subtotal="count" baseField="0" baseItem="0"/>
  </dataFields>
  <formats count="1">
    <format dxfId="67">
      <pivotArea outline="0" collapsedLevelsAreSubtotals="1" fieldPosition="0">
        <references count="1">
          <reference field="4294967294" count="4" selected="0">
            <x v="0"/>
            <x v="1"/>
            <x v="2"/>
            <x v="3"/>
          </reference>
        </references>
      </pivotArea>
    </format>
  </formats>
  <chartFormats count="15">
    <chartFormat chart="0" format="7" series="1">
      <pivotArea type="data" outline="0" fieldPosition="0">
        <references count="1">
          <reference field="4294967294" count="1" selected="0">
            <x v="4"/>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1"/>
          </reference>
        </references>
      </pivotArea>
    </chartFormat>
    <chartFormat chart="8" format="19" series="1">
      <pivotArea type="data" outline="0" fieldPosition="0">
        <references count="1">
          <reference field="4294967294" count="1" selected="0">
            <x v="2"/>
          </reference>
        </references>
      </pivotArea>
    </chartFormat>
    <chartFormat chart="8" format="20" series="1">
      <pivotArea type="data" outline="0" fieldPosition="0">
        <references count="1">
          <reference field="4294967294" count="1" selected="0">
            <x v="3"/>
          </reference>
        </references>
      </pivotArea>
    </chartFormat>
    <chartFormat chart="8" format="21" series="1">
      <pivotArea type="data" outline="0" fieldPosition="0">
        <references count="1">
          <reference field="4294967294" count="1" selected="0">
            <x v="4"/>
          </reference>
        </references>
      </pivotArea>
    </chartFormat>
    <chartFormat chart="10" format="17"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1"/>
          </reference>
        </references>
      </pivotArea>
    </chartFormat>
    <chartFormat chart="10" format="19" series="1">
      <pivotArea type="data" outline="0" fieldPosition="0">
        <references count="1">
          <reference field="4294967294" count="1" selected="0">
            <x v="2"/>
          </reference>
        </references>
      </pivotArea>
    </chartFormat>
    <chartFormat chart="10" format="20" series="1">
      <pivotArea type="data" outline="0" fieldPosition="0">
        <references count="1">
          <reference field="4294967294" count="1" selected="0">
            <x v="3"/>
          </reference>
        </references>
      </pivotArea>
    </chartFormat>
    <chartFormat chart="10" format="21"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883EF-C517-4033-9F98-23ADBF6E90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E10"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showAll="0">
      <items count="6">
        <item x="3"/>
        <item x="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quality_score" fld="10" subtotal="average" baseField="3" baseItem="0"/>
    <dataField name="StdDev of quality_score" fld="10" subtotal="stdDev" baseField="3" baseItem="0"/>
  </dataFields>
  <formats count="2">
    <format dxfId="69">
      <pivotArea collapsedLevelsAreSubtotals="1" fieldPosition="0">
        <references count="1">
          <reference field="3" count="1">
            <x v="2"/>
          </reference>
        </references>
      </pivotArea>
    </format>
    <format dxfId="68">
      <pivotArea grandRow="1" outline="0" collapsedLevelsAreSubtotals="1" fieldPosition="0"/>
    </format>
  </format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D65D1C-A30A-40CF-A385-248F068BFEE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3:H28" firstHeaderRow="1" firstDataRow="2"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s>
  <rowFields count="1">
    <field x="3"/>
  </rowFields>
  <rowItems count="4">
    <i>
      <x/>
    </i>
    <i>
      <x v="1"/>
    </i>
    <i>
      <x v="2"/>
    </i>
    <i t="grand">
      <x/>
    </i>
  </rowItems>
  <colFields count="1">
    <field x="18"/>
  </colFields>
  <colItems count="4">
    <i>
      <x/>
    </i>
    <i>
      <x v="1"/>
    </i>
    <i>
      <x v="2"/>
    </i>
    <i t="grand">
      <x/>
    </i>
  </colItems>
  <dataFields count="1">
    <dataField name="Average of confidence" fld="9" subtotal="average" baseField="3" baseItem="0"/>
  </dataFields>
  <formats count="2">
    <format dxfId="51">
      <pivotArea collapsedLevelsAreSubtotals="1" fieldPosition="0">
        <references count="1">
          <reference field="3" count="0"/>
        </references>
      </pivotArea>
    </format>
    <format dxfId="50">
      <pivotArea grandRow="1" outline="0" collapsedLevelsAreSubtotals="1" fieldPosition="0"/>
    </format>
  </formats>
  <chartFormats count="9">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18" count="1" selected="0">
            <x v="0"/>
          </reference>
        </references>
      </pivotArea>
    </chartFormat>
    <chartFormat chart="0" format="4" series="1">
      <pivotArea type="data" outline="0" fieldPosition="0">
        <references count="1">
          <reference field="18" count="1" selected="0">
            <x v="1"/>
          </reference>
        </references>
      </pivotArea>
    </chartFormat>
    <chartFormat chart="0" format="5" series="1">
      <pivotArea type="data" outline="0" fieldPosition="0">
        <references count="1">
          <reference field="18" count="1" selected="0">
            <x v="2"/>
          </reference>
        </references>
      </pivotArea>
    </chartFormat>
    <chartFormat chart="0" format="6" series="1">
      <pivotArea type="data" outline="0" fieldPosition="0">
        <references count="2">
          <reference field="4294967294" count="1" selected="0">
            <x v="0"/>
          </reference>
          <reference field="18" count="1" selected="0">
            <x v="0"/>
          </reference>
        </references>
      </pivotArea>
    </chartFormat>
    <chartFormat chart="0" format="7" series="1">
      <pivotArea type="data" outline="0" fieldPosition="0">
        <references count="2">
          <reference field="4294967294" count="1" selected="0">
            <x v="0"/>
          </reference>
          <reference field="18" count="1" selected="0">
            <x v="1"/>
          </reference>
        </references>
      </pivotArea>
    </chartFormat>
    <chartFormat chart="0"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F74AC-CC0A-4F7A-A82A-3B8CCA7B75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E9" firstHeaderRow="1" firstDataRow="1" firstDataCol="1" rowPageCount="1" colPageCount="1"/>
  <pivotFields count="21">
    <pivotField showAll="0"/>
    <pivotField showAll="0"/>
    <pivotField showAll="0"/>
    <pivotField axis="axisPage"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Items count="1">
    <i/>
  </colItems>
  <pageFields count="1">
    <pageField fld="3" hier="-1"/>
  </pageFields>
  <dataFields count="1">
    <dataField name="Average of confidence" fld="9" subtotal="average" baseField="18" baseItem="0" numFmtId="164"/>
  </dataFields>
  <formats count="1">
    <format dxfId="5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74D01-4A39-4E0D-9F7D-78C3B48524C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6:G21" firstHeaderRow="1" firstDataRow="2"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s>
  <rowFields count="1">
    <field x="3"/>
  </rowFields>
  <rowItems count="4">
    <i>
      <x/>
    </i>
    <i>
      <x v="1"/>
    </i>
    <i>
      <x v="2"/>
    </i>
    <i t="grand">
      <x/>
    </i>
  </rowItems>
  <colFields count="1">
    <field x="19"/>
  </colFields>
  <colItems count="4">
    <i>
      <x/>
    </i>
    <i>
      <x v="1"/>
    </i>
    <i>
      <x v="2"/>
    </i>
    <i t="grand">
      <x/>
    </i>
  </colItems>
  <dataFields count="1">
    <dataField name="Average of confidence" fld="9" subtotal="average" baseField="3" baseItem="0" numFmtId="165"/>
  </dataFields>
  <formats count="1">
    <format dxfId="48">
      <pivotArea outline="0" collapsedLevelsAreSubtotals="1" fieldPosition="0"/>
    </format>
  </formats>
  <chartFormats count="6">
    <chartFormat chart="0" format="0" series="1">
      <pivotArea type="data" outline="0" fieldPosition="0">
        <references count="1">
          <reference field="19" count="1" selected="0">
            <x v="0"/>
          </reference>
        </references>
      </pivotArea>
    </chartFormat>
    <chartFormat chart="0" format="1" series="1">
      <pivotArea type="data" outline="0" fieldPosition="0">
        <references count="1">
          <reference field="19" count="1" selected="0">
            <x v="1"/>
          </reference>
        </references>
      </pivotArea>
    </chartFormat>
    <chartFormat chart="0" format="2" series="1">
      <pivotArea type="data" outline="0" fieldPosition="0">
        <references count="1">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ED0CC8-0786-4040-B582-554D402E0D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D8" firstHeaderRow="1" firstDataRow="1" firstDataCol="1" rowPageCount="1" colPageCount="1"/>
  <pivotFields count="21">
    <pivotField showAll="0"/>
    <pivotField showAll="0"/>
    <pivotField showAll="0"/>
    <pivotField axis="axisPage"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19"/>
  </rowFields>
  <rowItems count="4">
    <i>
      <x/>
    </i>
    <i>
      <x v="1"/>
    </i>
    <i>
      <x v="2"/>
    </i>
    <i t="grand">
      <x/>
    </i>
  </rowItems>
  <colItems count="1">
    <i/>
  </colItems>
  <pageFields count="1">
    <pageField fld="3" hier="-1"/>
  </pageFields>
  <dataFields count="1">
    <dataField name="Average of confidence" fld="9" subtotal="average" baseField="19" baseItem="0" numFmtId="164"/>
  </dataFields>
  <formats count="1">
    <format dxfId="4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0DFEF4-4913-4F84-B6BF-DE4523B6FD66}" autoFormatId="16" applyNumberFormats="0" applyBorderFormats="0" applyFontFormats="0" applyPatternFormats="0" applyAlignmentFormats="0" applyWidthHeightFormats="0">
  <queryTableRefresh nextId="22" unboundColumnsRight="4">
    <queryTableFields count="21">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 id="18" dataBound="0" tableColumnId="18"/>
      <queryTableField id="19" dataBound="0" tableColumnId="19"/>
      <queryTableField id="20" dataBound="0" tableColumnId="20"/>
      <queryTableField id="21"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21A378F-DD25-486A-9033-A405EF1EA598}" autoFormatId="16" applyNumberFormats="0" applyBorderFormats="0" applyFontFormats="0" applyPatternFormats="0" applyAlignmentFormats="0" applyWidthHeightFormats="0">
  <queryTableRefresh nextId="18">
    <queryTableFields count="17">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26EAA5D-20D9-4FC0-AE12-2A8CA93756E6}" autoFormatId="16" applyNumberFormats="0" applyBorderFormats="0" applyFontFormats="0" applyPatternFormats="0" applyAlignmentFormats="0" applyWidthHeightFormats="0">
  <queryTableRefresh nextId="7">
    <queryTableFields count="5">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8500AD-1EF8-4386-A8EF-558086B9DBCB}" name="main_001_90runs__2" displayName="main_001_90runs__2" ref="A1:U91" tableType="queryTable" totalsRowShown="0">
  <autoFilter ref="A1:U91" xr:uid="{FE8500AD-1EF8-4386-A8EF-558086B9DBCB}">
    <filterColumn colId="3">
      <filters>
        <filter val="basic_agent"/>
      </filters>
    </filterColumn>
  </autoFilter>
  <tableColumns count="21">
    <tableColumn id="1" xr3:uid="{4F7162D1-3790-4A9C-9072-26DFB948AD19}" uniqueName="1" name="run_id" queryTableFieldId="1"/>
    <tableColumn id="2" xr3:uid="{3C0D94D1-A82C-4CF4-9391-DF02DEB32370}" uniqueName="2" name="experiment_id" queryTableFieldId="2" dataDxfId="65"/>
    <tableColumn id="3" xr3:uid="{FC4FD114-4FF2-401E-B840-E8E08BC05447}" uniqueName="3" name="task_id" queryTableFieldId="3"/>
    <tableColumn id="4" xr3:uid="{3FC0A036-E406-4B1D-AAAF-07982CB5929F}" uniqueName="4" name="workflow_type" queryTableFieldId="4" dataDxfId="64"/>
    <tableColumn id="5" xr3:uid="{F64A6674-480E-44E5-AD6A-B60679F9A6D6}" uniqueName="5" name="timestamp" queryTableFieldId="5" dataDxfId="63"/>
    <tableColumn id="6" xr3:uid="{29D68B0E-322F-4C8A-AAD8-035B1C1BFE6E}" uniqueName="6" name="prompt" queryTableFieldId="6" dataDxfId="62"/>
    <tableColumn id="7" xr3:uid="{7A79A79D-E84E-4EA7-A604-B8A9303184F7}" uniqueName="7" name="output" queryTableFieldId="7" dataDxfId="61"/>
    <tableColumn id="8" xr3:uid="{688FAF55-DC21-4B4B-8DFB-860A6DAE5C94}" uniqueName="8" name="answer" queryTableFieldId="8" dataDxfId="60"/>
    <tableColumn id="9" xr3:uid="{3EB6F32C-FC13-47E0-ACAB-31ABC81D446F}" uniqueName="9" name="execution_summary" queryTableFieldId="9" dataDxfId="59"/>
    <tableColumn id="10" xr3:uid="{2AEC909B-9BDA-4D54-96E3-388D29533592}" uniqueName="10" name="confidence" queryTableFieldId="10"/>
    <tableColumn id="11" xr3:uid="{FD182298-DEBB-493C-A8C8-93D40AE13567}" uniqueName="11" name="quality_score" queryTableFieldId="11"/>
    <tableColumn id="12" xr3:uid="{25D0B228-FBAB-4F9E-B575-EC3B6A29C427}" uniqueName="12" name="score" queryTableFieldId="12"/>
    <tableColumn id="13" xr3:uid="{5BD431FF-6410-4D4D-8142-9927364ECBEC}" uniqueName="13" name="duration_sec" queryTableFieldId="13"/>
    <tableColumn id="14" xr3:uid="{A8B4D324-1AA7-47C4-A118-EC65A2B5DB00}" uniqueName="14" name="token_estimate" queryTableFieldId="14"/>
    <tableColumn id="15" xr3:uid="{134EB055-6B5D-40FB-B253-B9F83987C508}" uniqueName="15" name="success" queryTableFieldId="15"/>
    <tableColumn id="16" xr3:uid="{C42D9C25-8525-408D-90FA-2844A1B50667}" uniqueName="16" name="notes" queryTableFieldId="16" dataDxfId="58"/>
    <tableColumn id="17" xr3:uid="{C319D253-1672-4B72-8E58-7B4489A4B105}" uniqueName="17" name="reviewer_version" queryTableFieldId="17" dataDxfId="57"/>
    <tableColumn id="18" xr3:uid="{E82B4081-5BE1-46E1-A169-5F5F84091853}" uniqueName="18" name="real_task_id" queryTableFieldId="18" dataDxfId="56"/>
    <tableColumn id="19" xr3:uid="{897CC1A7-FBD0-4512-8FB2-15CD91BC7E72}" uniqueName="19" name="category" queryTableFieldId="19" dataDxfId="55">
      <calculatedColumnFormula>VLOOKUP(main_001_90runs__2[[#This Row],[prompt]],tasks!B:E,2,FALSE)</calculatedColumnFormula>
    </tableColumn>
    <tableColumn id="20" xr3:uid="{8AD98BD3-95E8-47C4-AF92-7FE9804C536D}" uniqueName="20" name="difficulty" queryTableFieldId="20" dataDxfId="54">
      <calculatedColumnFormula>VLOOKUP(main_001_90runs__2[[#This Row],[prompt]],tasks!B:E,3,FALSE)</calculatedColumnFormula>
    </tableColumn>
    <tableColumn id="21" xr3:uid="{9446655C-2110-43B2-8D39-E8CFB28CF583}" uniqueName="21" name="expected_output" queryTableFieldId="21" dataDxfId="53">
      <calculatedColumnFormula>VLOOKUP(main_001_90runs__2[[#This Row],[prompt]],tasks!B:E,4,FALSE)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6C986D-0B58-4F25-BDDA-3CDA15B5F612}" name="Table5" displayName="Table5" ref="G57:I60" totalsRowShown="0" headerRowDxfId="24" headerRowBorderDxfId="29" tableBorderDxfId="30" totalsRowBorderDxfId="28">
  <autoFilter ref="G57:I60" xr:uid="{716C986D-0B58-4F25-BDDA-3CDA15B5F612}"/>
  <tableColumns count="3">
    <tableColumn id="1" xr3:uid="{45A44148-1718-4D40-B68D-E31C248EF02F}" name="Workflow" dataDxfId="27"/>
    <tableColumn id="2" xr3:uid="{D7143E0E-0D36-408B-9507-9E17F271D932}" name="Average of confidence" dataDxfId="26"/>
    <tableColumn id="3" xr3:uid="{0E819C8D-2C8A-4020-8B73-0427AA343E63}" name="StdDev of confidence" dataDxfId="2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366993-2B46-4266-8419-992FD0C5D70C}" name="Table6" displayName="Table6" ref="M23:P26" totalsRowShown="0" headerRowDxfId="16" headerRowBorderDxfId="22" tableBorderDxfId="23" totalsRowBorderDxfId="21">
  <autoFilter ref="M23:P26" xr:uid="{F9366993-2B46-4266-8419-992FD0C5D70C}"/>
  <tableColumns count="4">
    <tableColumn id="1" xr3:uid="{FCF27EEB-7BEA-4C34-8AFB-6348A3BCA5CE}" name="Row Labels" dataDxfId="20"/>
    <tableColumn id="2" xr3:uid="{842B091D-ABF0-4DD9-937C-0533D65FEC34}" name="Coding" dataDxfId="19"/>
    <tableColumn id="3" xr3:uid="{15266354-7073-4624-AC65-87DEC4DD31B9}" name="Knowledge" dataDxfId="18"/>
    <tableColumn id="4" xr3:uid="{BA824A2C-13D2-4A16-838F-AB76E4ED3325}" name="Reasoning" dataDxf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4961FA-B546-4DE7-8D20-31EA3DDB4407}" name="Table7" displayName="Table7" ref="K17:N20" totalsRowShown="0" headerRowDxfId="8" headerRowBorderDxfId="14" tableBorderDxfId="15" totalsRowBorderDxfId="13">
  <autoFilter ref="K17:N20" xr:uid="{224961FA-B546-4DE7-8D20-31EA3DDB4407}"/>
  <tableColumns count="4">
    <tableColumn id="1" xr3:uid="{91F4001A-739C-443E-8795-7E21A1902377}" name="Row Labels" dataDxfId="12"/>
    <tableColumn id="2" xr3:uid="{DF04A160-D62B-4F33-9A6A-C41AB72EFF48}" name="easy" dataDxfId="11"/>
    <tableColumn id="3" xr3:uid="{29CBA7E9-7D4E-4660-89FE-C69EAB6D4BD6}" name="hard" dataDxfId="10"/>
    <tableColumn id="4" xr3:uid="{D6FCEE01-E98C-4FA2-8352-196F5B0E0CA0}" name="medium" dataDxfId="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69EE80-38C5-43CB-9678-847F49099776}" name="Table8" displayName="Table8" ref="H14:J17" totalsRowShown="0" headerRowDxfId="0" dataDxfId="7" headerRowBorderDxfId="5" tableBorderDxfId="6" totalsRowBorderDxfId="4">
  <autoFilter ref="H14:J17" xr:uid="{5D69EE80-38C5-43CB-9678-847F49099776}"/>
  <tableColumns count="3">
    <tableColumn id="1" xr3:uid="{89FDD296-035A-4610-A51D-9CCCCCEB6D5A}" name="Metric" dataDxfId="3"/>
    <tableColumn id="2" xr3:uid="{F8AF7004-5009-4108-A7D2-D8944D7B1B6B}" name="Planner Executor Improvement over Basic" dataDxfId="2"/>
    <tableColumn id="3" xr3:uid="{748914BE-D9A6-40BE-8D6C-3362758C9D5B}" name="Planner Executor Reviewer Improvement over Basic" dataDxfId="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4FB2E-82F6-42F8-BF1E-9034BA11F61F}" name="Table4" displayName="Table4" ref="C5:D13" totalsRowShown="0" headerRowDxfId="47" dataDxfId="46">
  <autoFilter ref="C5:D13" xr:uid="{5844FB2E-82F6-42F8-BF1E-9034BA11F61F}"/>
  <tableColumns count="2">
    <tableColumn id="1" xr3:uid="{279D2C7F-5E85-49F8-973E-30D6D271E450}" name="Finding" dataDxfId="45"/>
    <tableColumn id="2" xr3:uid="{98772264-FE01-478F-8BF8-530476C1D303}" name="Result" dataDxfId="4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4C6D9-89FF-44EE-BA0C-4B066F12A329}" name="main_001_90runs" displayName="main_001_90runs" ref="A1:Q100" tableType="queryTable" totalsRowShown="0">
  <autoFilter ref="A1:Q100" xr:uid="{87E4C6D9-89FF-44EE-BA0C-4B066F12A329}"/>
  <tableColumns count="17">
    <tableColumn id="1" xr3:uid="{1601DDC9-6BAD-44C0-9A5C-5A60EAB334D4}" uniqueName="1" name="run_id" queryTableFieldId="1"/>
    <tableColumn id="2" xr3:uid="{77F976FC-C557-41DF-8BFE-89FC8B8BC07A}" uniqueName="2" name="experiment_id" queryTableFieldId="2" dataDxfId="43"/>
    <tableColumn id="3" xr3:uid="{EF24BC62-93C5-4924-88A0-3D706F7724C3}" uniqueName="3" name="task_id" queryTableFieldId="3"/>
    <tableColumn id="4" xr3:uid="{DE0A40F3-C5FE-4B39-878F-06DFD4EC6147}" uniqueName="4" name="workflow_type" queryTableFieldId="4" dataDxfId="42"/>
    <tableColumn id="5" xr3:uid="{473401F0-76F0-431B-9920-C76B0F1E56D8}" uniqueName="5" name="timestamp" queryTableFieldId="5" dataDxfId="41"/>
    <tableColumn id="6" xr3:uid="{5BA58FFB-A745-4AE4-8668-19A3A915A3EB}" uniqueName="6" name="prompt" queryTableFieldId="6" dataDxfId="40"/>
    <tableColumn id="7" xr3:uid="{EFEEE256-3845-42EC-BC95-822284899B5E}" uniqueName="7" name="output" queryTableFieldId="7" dataDxfId="39"/>
    <tableColumn id="8" xr3:uid="{94891E91-4BB1-4EAB-813A-4A6FADD4EF88}" uniqueName="8" name="answer" queryTableFieldId="8" dataDxfId="38"/>
    <tableColumn id="9" xr3:uid="{481D76A0-FBC9-48C6-AF6C-4D63B5002FFC}" uniqueName="9" name="execution_summary" queryTableFieldId="9" dataDxfId="37"/>
    <tableColumn id="10" xr3:uid="{1C55F1EB-5F93-46CE-91B0-D40B791C4DAB}" uniqueName="10" name="confidence" queryTableFieldId="10"/>
    <tableColumn id="11" xr3:uid="{1D423C67-57DE-46E7-A9F9-D3534543F42A}" uniqueName="11" name="quality_score" queryTableFieldId="11"/>
    <tableColumn id="12" xr3:uid="{3FB89599-73DD-4B41-99F0-51B6AE366630}" uniqueName="12" name="score" queryTableFieldId="12"/>
    <tableColumn id="13" xr3:uid="{777E965D-53C2-44B8-A7E5-45A5DCE18480}" uniqueName="13" name="duration_sec" queryTableFieldId="13"/>
    <tableColumn id="14" xr3:uid="{41FD8E6B-2C5E-49E4-A475-C3F0DE35ACFB}" uniqueName="14" name="token_estimate" queryTableFieldId="14"/>
    <tableColumn id="15" xr3:uid="{0069A20F-3F83-4962-8D08-455768B79F34}" uniqueName="15" name="success" queryTableFieldId="15"/>
    <tableColumn id="16" xr3:uid="{9C9F84B1-97FF-40BF-B721-9459EF544445}" uniqueName="16" name="notes" queryTableFieldId="16" dataDxfId="36"/>
    <tableColumn id="17" xr3:uid="{0F1832ED-8692-420C-B5F1-844F6AC8FA49}" uniqueName="17" name="reviewer_version" queryTableFieldId="17" dataDxfId="3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68ADF-F182-4E67-9256-0C633E91E6A6}" name="tasks" displayName="tasks" ref="A1:E33" tableType="queryTable" totalsRowShown="0">
  <autoFilter ref="A1:E33" xr:uid="{55368ADF-F182-4E67-9256-0C633E91E6A6}"/>
  <tableColumns count="5">
    <tableColumn id="1" xr3:uid="{5C844240-A857-4ABC-81D9-B2ABE1450D53}" uniqueName="1" name="task_id" queryTableFieldId="1"/>
    <tableColumn id="6" xr3:uid="{5B81FDCB-27B3-4D2E-9F9B-F4FBF4E93770}" uniqueName="6" name="task" queryTableFieldId="6" dataDxfId="34"/>
    <tableColumn id="2" xr3:uid="{861D80BF-B6F9-4E08-B60F-6DE453C51C3E}" uniqueName="2" name="category" queryTableFieldId="2" dataDxfId="33"/>
    <tableColumn id="3" xr3:uid="{1FF47BD3-780D-4448-B848-8D6FE6428415}" uniqueName="3" name="difficulty" queryTableFieldId="3" dataDxfId="32"/>
    <tableColumn id="5" xr3:uid="{DE1E4470-3ADD-487F-84EB-11304B9CAFCB}" uniqueName="5" name="expected_output" queryTableFieldId="5" dataDxfId="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CD7-1CB8-40CE-96F3-0D1926DE5CBA}">
  <dimension ref="A1:U91"/>
  <sheetViews>
    <sheetView topLeftCell="G20" workbookViewId="0">
      <selection activeCell="F50" sqref="F50"/>
    </sheetView>
  </sheetViews>
  <sheetFormatPr defaultRowHeight="15" x14ac:dyDescent="0.25"/>
  <cols>
    <col min="1" max="1" width="12.42578125" bestFit="1" customWidth="1"/>
    <col min="2" max="2" width="16.5703125" customWidth="1"/>
    <col min="3" max="3" width="9.5703125" customWidth="1"/>
    <col min="4" max="4" width="26.28515625" customWidth="1"/>
    <col min="5" max="5" width="14.140625" bestFit="1" customWidth="1"/>
    <col min="6" max="6" width="68.140625" style="3" customWidth="1"/>
    <col min="7" max="7" width="7.7109375" customWidth="1"/>
    <col min="8" max="8" width="9.42578125" customWidth="1"/>
    <col min="9" max="9" width="5.28515625" customWidth="1"/>
    <col min="10" max="10" width="8.7109375" customWidth="1"/>
    <col min="11" max="11" width="7.7109375" customWidth="1"/>
    <col min="12" max="12" width="6" customWidth="1"/>
    <col min="13" max="13" width="8.42578125" customWidth="1"/>
    <col min="14" max="14" width="2.7109375" customWidth="1"/>
    <col min="15" max="15" width="8.28515625" customWidth="1"/>
    <col min="16" max="16" width="6.7109375" customWidth="1"/>
    <col min="17" max="17" width="19" bestFit="1" customWidth="1"/>
    <col min="19" max="19" width="10.5703125" bestFit="1" customWidth="1"/>
    <col min="21" max="21" width="26.28515625" bestFit="1" customWidth="1"/>
  </cols>
  <sheetData>
    <row r="1" spans="1:21" x14ac:dyDescent="0.25">
      <c r="A1" t="s">
        <v>0</v>
      </c>
      <c r="B1" t="s">
        <v>1</v>
      </c>
      <c r="C1" t="s">
        <v>2</v>
      </c>
      <c r="D1" t="s">
        <v>3</v>
      </c>
      <c r="E1" t="s">
        <v>4</v>
      </c>
      <c r="F1" s="3" t="s">
        <v>5</v>
      </c>
      <c r="G1" t="s">
        <v>6</v>
      </c>
      <c r="H1" t="s">
        <v>7</v>
      </c>
      <c r="I1" t="s">
        <v>8</v>
      </c>
      <c r="J1" t="s">
        <v>9</v>
      </c>
      <c r="K1" t="s">
        <v>10</v>
      </c>
      <c r="L1" t="s">
        <v>11</v>
      </c>
      <c r="M1" t="s">
        <v>12</v>
      </c>
      <c r="N1" t="s">
        <v>13</v>
      </c>
      <c r="O1" t="s">
        <v>14</v>
      </c>
      <c r="P1" t="s">
        <v>15</v>
      </c>
      <c r="Q1" t="s">
        <v>16</v>
      </c>
      <c r="R1" t="s">
        <v>398</v>
      </c>
      <c r="S1" t="s">
        <v>350</v>
      </c>
      <c r="T1" t="s">
        <v>351</v>
      </c>
      <c r="U1" t="s">
        <v>353</v>
      </c>
    </row>
    <row r="2" spans="1:21" x14ac:dyDescent="0.25">
      <c r="A2">
        <v>1780574892946</v>
      </c>
      <c r="B2" t="s">
        <v>55</v>
      </c>
      <c r="C2">
        <v>1</v>
      </c>
      <c r="D2" t="s">
        <v>18</v>
      </c>
      <c r="E2" s="1">
        <v>46177.630705405092</v>
      </c>
      <c r="F2" s="4" t="s">
        <v>56</v>
      </c>
      <c r="G2" t="s">
        <v>57</v>
      </c>
      <c r="H2" t="s">
        <v>58</v>
      </c>
      <c r="I2" t="s">
        <v>59</v>
      </c>
      <c r="J2">
        <v>0.95</v>
      </c>
      <c r="L2">
        <v>0</v>
      </c>
      <c r="M2">
        <v>0</v>
      </c>
      <c r="N2">
        <v>0</v>
      </c>
      <c r="O2" t="b">
        <v>1</v>
      </c>
      <c r="P2" t="s">
        <v>60</v>
      </c>
      <c r="Q2" t="s">
        <v>366</v>
      </c>
      <c r="R2" s="2">
        <v>1</v>
      </c>
      <c r="S2" t="str">
        <f>VLOOKUP(main_001_90runs__2[[#This Row],[prompt]],tasks!B:E,2,FALSE)</f>
        <v>Knowledge</v>
      </c>
      <c r="T2" t="str">
        <f>VLOOKUP(main_001_90runs__2[[#This Row],[prompt]],tasks!B:E,3,FALSE)</f>
        <v>easy</v>
      </c>
      <c r="U2" t="str">
        <f>VLOOKUP(main_001_90runs__2[[#This Row],[prompt]],tasks!B:E,4,FALSE)</f>
        <v>Structured comparison</v>
      </c>
    </row>
    <row r="3" spans="1:21" hidden="1" x14ac:dyDescent="0.25">
      <c r="A3">
        <v>1780574903737</v>
      </c>
      <c r="B3" t="s">
        <v>55</v>
      </c>
      <c r="C3">
        <v>1</v>
      </c>
      <c r="D3" t="s">
        <v>24</v>
      </c>
      <c r="E3" s="1">
        <v>46177.630830289352</v>
      </c>
      <c r="F3" s="4" t="s">
        <v>56</v>
      </c>
      <c r="G3" t="s">
        <v>61</v>
      </c>
      <c r="H3" t="s">
        <v>62</v>
      </c>
      <c r="I3" t="s">
        <v>63</v>
      </c>
      <c r="J3">
        <v>0.95</v>
      </c>
      <c r="L3">
        <v>0</v>
      </c>
      <c r="M3">
        <v>0</v>
      </c>
      <c r="N3">
        <v>0</v>
      </c>
      <c r="O3" t="b">
        <v>1</v>
      </c>
      <c r="P3" t="s">
        <v>64</v>
      </c>
      <c r="Q3" t="s">
        <v>366</v>
      </c>
      <c r="R3" s="2">
        <v>1</v>
      </c>
      <c r="S3" t="str">
        <f>VLOOKUP(main_001_90runs__2[[#This Row],[prompt]],tasks!B:E,2,FALSE)</f>
        <v>Knowledge</v>
      </c>
      <c r="T3" t="str">
        <f>VLOOKUP(main_001_90runs__2[[#This Row],[prompt]],tasks!B:E,3,FALSE)</f>
        <v>easy</v>
      </c>
      <c r="U3" t="str">
        <f>VLOOKUP(main_001_90runs__2[[#This Row],[prompt]],tasks!B:E,4,FALSE)</f>
        <v>Structured comparison</v>
      </c>
    </row>
    <row r="4" spans="1:21" hidden="1" x14ac:dyDescent="0.25">
      <c r="A4">
        <v>1780574915175</v>
      </c>
      <c r="B4" t="s">
        <v>55</v>
      </c>
      <c r="C4">
        <v>1</v>
      </c>
      <c r="D4" t="s">
        <v>29</v>
      </c>
      <c r="E4" s="1">
        <v>46177.630962673611</v>
      </c>
      <c r="F4" s="4" t="s">
        <v>56</v>
      </c>
      <c r="G4" t="s">
        <v>65</v>
      </c>
      <c r="H4" t="s">
        <v>66</v>
      </c>
      <c r="I4" t="s">
        <v>67</v>
      </c>
      <c r="J4">
        <v>0.98</v>
      </c>
      <c r="K4">
        <v>0.95</v>
      </c>
      <c r="L4">
        <v>0</v>
      </c>
      <c r="M4">
        <v>0</v>
      </c>
      <c r="N4">
        <v>0</v>
      </c>
      <c r="O4" t="b">
        <v>1</v>
      </c>
      <c r="P4" t="s">
        <v>68</v>
      </c>
      <c r="Q4" t="s">
        <v>34</v>
      </c>
      <c r="R4" s="2">
        <v>1</v>
      </c>
      <c r="S4" t="str">
        <f>VLOOKUP(main_001_90runs__2[[#This Row],[prompt]],tasks!B:E,2,FALSE)</f>
        <v>Knowledge</v>
      </c>
      <c r="T4" t="str">
        <f>VLOOKUP(main_001_90runs__2[[#This Row],[prompt]],tasks!B:E,3,FALSE)</f>
        <v>easy</v>
      </c>
      <c r="U4" t="str">
        <f>VLOOKUP(main_001_90runs__2[[#This Row],[prompt]],tasks!B:E,4,FALSE)</f>
        <v>Structured comparison</v>
      </c>
    </row>
    <row r="5" spans="1:21" x14ac:dyDescent="0.25">
      <c r="A5">
        <v>1780575855817</v>
      </c>
      <c r="B5" t="s">
        <v>55</v>
      </c>
      <c r="C5">
        <v>1</v>
      </c>
      <c r="D5" t="s">
        <v>18</v>
      </c>
      <c r="E5" s="1">
        <v>46177.641849733795</v>
      </c>
      <c r="F5" s="4" t="s">
        <v>69</v>
      </c>
      <c r="G5" t="s">
        <v>70</v>
      </c>
      <c r="H5" t="s">
        <v>71</v>
      </c>
      <c r="I5" t="s">
        <v>72</v>
      </c>
      <c r="J5">
        <v>1</v>
      </c>
      <c r="L5">
        <v>0</v>
      </c>
      <c r="M5">
        <v>0</v>
      </c>
      <c r="N5">
        <v>0</v>
      </c>
      <c r="O5" t="b">
        <v>1</v>
      </c>
      <c r="P5" t="s">
        <v>60</v>
      </c>
      <c r="Q5" t="s">
        <v>366</v>
      </c>
      <c r="R5" s="2">
        <v>2</v>
      </c>
      <c r="S5" t="str">
        <f>VLOOKUP(main_001_90runs__2[[#This Row],[prompt]],tasks!B:E,2,FALSE)</f>
        <v>Knowledge</v>
      </c>
      <c r="T5" t="str">
        <f>VLOOKUP(main_001_90runs__2[[#This Row],[prompt]],tasks!B:E,3,FALSE)</f>
        <v>easy</v>
      </c>
      <c r="U5" t="str">
        <f>VLOOKUP(main_001_90runs__2[[#This Row],[prompt]],tasks!B:E,4,FALSE)</f>
        <v>Technical explanation</v>
      </c>
    </row>
    <row r="6" spans="1:21" hidden="1" x14ac:dyDescent="0.25">
      <c r="A6">
        <v>1780575867997</v>
      </c>
      <c r="B6" t="s">
        <v>55</v>
      </c>
      <c r="C6">
        <v>1</v>
      </c>
      <c r="D6" t="s">
        <v>24</v>
      </c>
      <c r="E6" s="1">
        <v>46177.641990717595</v>
      </c>
      <c r="F6" s="4" t="s">
        <v>69</v>
      </c>
      <c r="G6" t="s">
        <v>73</v>
      </c>
      <c r="H6" t="s">
        <v>74</v>
      </c>
      <c r="I6" t="s">
        <v>75</v>
      </c>
      <c r="J6">
        <v>1</v>
      </c>
      <c r="L6">
        <v>0</v>
      </c>
      <c r="M6">
        <v>0</v>
      </c>
      <c r="N6">
        <v>0</v>
      </c>
      <c r="O6" t="b">
        <v>1</v>
      </c>
      <c r="P6" t="s">
        <v>64</v>
      </c>
      <c r="Q6" t="s">
        <v>366</v>
      </c>
      <c r="R6" s="2">
        <v>2</v>
      </c>
      <c r="S6" t="str">
        <f>VLOOKUP(main_001_90runs__2[[#This Row],[prompt]],tasks!B:E,2,FALSE)</f>
        <v>Knowledge</v>
      </c>
      <c r="T6" t="str">
        <f>VLOOKUP(main_001_90runs__2[[#This Row],[prompt]],tasks!B:E,3,FALSE)</f>
        <v>easy</v>
      </c>
      <c r="U6" t="str">
        <f>VLOOKUP(main_001_90runs__2[[#This Row],[prompt]],tasks!B:E,4,FALSE)</f>
        <v>Technical explanation</v>
      </c>
    </row>
    <row r="7" spans="1:21" hidden="1" x14ac:dyDescent="0.25">
      <c r="A7">
        <v>1780575879320</v>
      </c>
      <c r="B7" t="s">
        <v>55</v>
      </c>
      <c r="C7">
        <v>1</v>
      </c>
      <c r="D7" t="s">
        <v>29</v>
      </c>
      <c r="E7" s="1">
        <v>46177.642121770834</v>
      </c>
      <c r="F7" s="4" t="s">
        <v>69</v>
      </c>
      <c r="G7" t="s">
        <v>76</v>
      </c>
      <c r="H7" t="s">
        <v>77</v>
      </c>
      <c r="I7" t="s">
        <v>78</v>
      </c>
      <c r="J7">
        <v>1</v>
      </c>
      <c r="K7">
        <v>1</v>
      </c>
      <c r="L7">
        <v>0</v>
      </c>
      <c r="M7">
        <v>0</v>
      </c>
      <c r="N7">
        <v>0</v>
      </c>
      <c r="O7" t="b">
        <v>1</v>
      </c>
      <c r="P7" t="s">
        <v>68</v>
      </c>
      <c r="Q7" t="s">
        <v>34</v>
      </c>
      <c r="R7" s="2">
        <v>2</v>
      </c>
      <c r="S7" t="str">
        <f>VLOOKUP(main_001_90runs__2[[#This Row],[prompt]],tasks!B:E,2,FALSE)</f>
        <v>Knowledge</v>
      </c>
      <c r="T7" t="str">
        <f>VLOOKUP(main_001_90runs__2[[#This Row],[prompt]],tasks!B:E,3,FALSE)</f>
        <v>easy</v>
      </c>
      <c r="U7" t="str">
        <f>VLOOKUP(main_001_90runs__2[[#This Row],[prompt]],tasks!B:E,4,FALSE)</f>
        <v>Technical explanation</v>
      </c>
    </row>
    <row r="8" spans="1:21" x14ac:dyDescent="0.25">
      <c r="A8">
        <v>1780576994343</v>
      </c>
      <c r="B8" t="s">
        <v>55</v>
      </c>
      <c r="C8">
        <v>1</v>
      </c>
      <c r="D8" t="s">
        <v>18</v>
      </c>
      <c r="E8" s="1">
        <v>46177.655027129629</v>
      </c>
      <c r="F8" s="4" t="s">
        <v>79</v>
      </c>
      <c r="G8" t="s">
        <v>80</v>
      </c>
      <c r="H8" t="s">
        <v>81</v>
      </c>
      <c r="I8" t="s">
        <v>82</v>
      </c>
      <c r="J8">
        <v>1</v>
      </c>
      <c r="L8">
        <v>0</v>
      </c>
      <c r="M8">
        <v>0</v>
      </c>
      <c r="N8">
        <v>0</v>
      </c>
      <c r="O8" t="b">
        <v>1</v>
      </c>
      <c r="P8" t="s">
        <v>60</v>
      </c>
      <c r="Q8" t="s">
        <v>366</v>
      </c>
      <c r="R8" s="2">
        <v>3</v>
      </c>
      <c r="S8" t="str">
        <f>VLOOKUP(main_001_90runs__2[[#This Row],[prompt]],tasks!B:E,2,FALSE)</f>
        <v>Knowledge</v>
      </c>
      <c r="T8" t="str">
        <f>VLOOKUP(main_001_90runs__2[[#This Row],[prompt]],tasks!B:E,3,FALSE)</f>
        <v>easy</v>
      </c>
      <c r="U8" t="str">
        <f>VLOOKUP(main_001_90runs__2[[#This Row],[prompt]],tasks!B:E,4,FALSE)</f>
        <v>Comparison report</v>
      </c>
    </row>
    <row r="9" spans="1:21" hidden="1" x14ac:dyDescent="0.25">
      <c r="A9">
        <v>1780577003965</v>
      </c>
      <c r="B9" t="s">
        <v>55</v>
      </c>
      <c r="C9">
        <v>1</v>
      </c>
      <c r="D9" t="s">
        <v>24</v>
      </c>
      <c r="E9" s="1">
        <v>46177.655138495371</v>
      </c>
      <c r="F9" s="4" t="s">
        <v>79</v>
      </c>
      <c r="G9" t="s">
        <v>83</v>
      </c>
      <c r="H9" t="s">
        <v>84</v>
      </c>
      <c r="I9" t="s">
        <v>85</v>
      </c>
      <c r="J9">
        <v>1</v>
      </c>
      <c r="L9">
        <v>0</v>
      </c>
      <c r="M9">
        <v>0</v>
      </c>
      <c r="N9">
        <v>0</v>
      </c>
      <c r="O9" t="b">
        <v>1</v>
      </c>
      <c r="P9" t="s">
        <v>64</v>
      </c>
      <c r="Q9" t="s">
        <v>366</v>
      </c>
      <c r="R9" s="2">
        <v>3</v>
      </c>
      <c r="S9" t="str">
        <f>VLOOKUP(main_001_90runs__2[[#This Row],[prompt]],tasks!B:E,2,FALSE)</f>
        <v>Knowledge</v>
      </c>
      <c r="T9" t="str">
        <f>VLOOKUP(main_001_90runs__2[[#This Row],[prompt]],tasks!B:E,3,FALSE)</f>
        <v>easy</v>
      </c>
      <c r="U9" t="str">
        <f>VLOOKUP(main_001_90runs__2[[#This Row],[prompt]],tasks!B:E,4,FALSE)</f>
        <v>Comparison report</v>
      </c>
    </row>
    <row r="10" spans="1:21" hidden="1" x14ac:dyDescent="0.25">
      <c r="A10">
        <v>1780577017923</v>
      </c>
      <c r="B10" t="s">
        <v>55</v>
      </c>
      <c r="C10">
        <v>1</v>
      </c>
      <c r="D10" t="s">
        <v>29</v>
      </c>
      <c r="E10" s="1">
        <v>46177.655300034719</v>
      </c>
      <c r="F10" s="4" t="s">
        <v>79</v>
      </c>
      <c r="G10" t="s">
        <v>86</v>
      </c>
      <c r="H10" t="s">
        <v>87</v>
      </c>
      <c r="I10" t="s">
        <v>88</v>
      </c>
      <c r="J10">
        <v>1</v>
      </c>
      <c r="K10">
        <v>0.95</v>
      </c>
      <c r="L10">
        <v>0</v>
      </c>
      <c r="M10">
        <v>0</v>
      </c>
      <c r="N10">
        <v>0</v>
      </c>
      <c r="O10" t="b">
        <v>1</v>
      </c>
      <c r="P10" t="s">
        <v>68</v>
      </c>
      <c r="Q10" t="s">
        <v>34</v>
      </c>
      <c r="R10" s="2">
        <v>3</v>
      </c>
      <c r="S10" t="str">
        <f>VLOOKUP(main_001_90runs__2[[#This Row],[prompt]],tasks!B:E,2,FALSE)</f>
        <v>Knowledge</v>
      </c>
      <c r="T10" t="str">
        <f>VLOOKUP(main_001_90runs__2[[#This Row],[prompt]],tasks!B:E,3,FALSE)</f>
        <v>easy</v>
      </c>
      <c r="U10" t="str">
        <f>VLOOKUP(main_001_90runs__2[[#This Row],[prompt]],tasks!B:E,4,FALSE)</f>
        <v>Comparison report</v>
      </c>
    </row>
    <row r="11" spans="1:21" x14ac:dyDescent="0.25">
      <c r="A11">
        <v>1780578566594</v>
      </c>
      <c r="B11" t="s">
        <v>55</v>
      </c>
      <c r="C11">
        <v>1</v>
      </c>
      <c r="D11" t="s">
        <v>18</v>
      </c>
      <c r="E11" s="1">
        <v>46177.673224479164</v>
      </c>
      <c r="F11" s="4" t="s">
        <v>89</v>
      </c>
      <c r="G11" t="s">
        <v>90</v>
      </c>
      <c r="H11" t="s">
        <v>91</v>
      </c>
      <c r="I11" t="s">
        <v>92</v>
      </c>
      <c r="J11">
        <v>0.95</v>
      </c>
      <c r="L11">
        <v>0</v>
      </c>
      <c r="M11">
        <v>0</v>
      </c>
      <c r="N11">
        <v>0</v>
      </c>
      <c r="O11" t="b">
        <v>1</v>
      </c>
      <c r="P11" t="s">
        <v>60</v>
      </c>
      <c r="Q11" t="s">
        <v>366</v>
      </c>
      <c r="R11" s="2">
        <v>4</v>
      </c>
      <c r="S11" t="str">
        <f>VLOOKUP(main_001_90runs__2[[#This Row],[prompt]],tasks!B:E,2,FALSE)</f>
        <v>Knowledge</v>
      </c>
      <c r="T11" t="str">
        <f>VLOOKUP(main_001_90runs__2[[#This Row],[prompt]],tasks!B:E,3,FALSE)</f>
        <v>medium</v>
      </c>
      <c r="U11" t="str">
        <f>VLOOKUP(main_001_90runs__2[[#This Row],[prompt]],tasks!B:E,4,FALSE)</f>
        <v>Executive summary</v>
      </c>
    </row>
    <row r="12" spans="1:21" hidden="1" x14ac:dyDescent="0.25">
      <c r="A12">
        <v>1780578577218</v>
      </c>
      <c r="B12" t="s">
        <v>55</v>
      </c>
      <c r="C12">
        <v>1</v>
      </c>
      <c r="D12" t="s">
        <v>24</v>
      </c>
      <c r="E12" s="1">
        <v>46177.673347430558</v>
      </c>
      <c r="F12" s="4" t="s">
        <v>89</v>
      </c>
      <c r="G12" t="s">
        <v>93</v>
      </c>
      <c r="H12" t="s">
        <v>94</v>
      </c>
      <c r="I12" t="s">
        <v>95</v>
      </c>
      <c r="J12">
        <v>0.95</v>
      </c>
      <c r="L12">
        <v>0</v>
      </c>
      <c r="M12">
        <v>0</v>
      </c>
      <c r="N12">
        <v>0</v>
      </c>
      <c r="O12" t="b">
        <v>1</v>
      </c>
      <c r="P12" t="s">
        <v>64</v>
      </c>
      <c r="Q12" t="s">
        <v>366</v>
      </c>
      <c r="R12" s="2">
        <v>4</v>
      </c>
      <c r="S12" t="str">
        <f>VLOOKUP(main_001_90runs__2[[#This Row],[prompt]],tasks!B:E,2,FALSE)</f>
        <v>Knowledge</v>
      </c>
      <c r="T12" t="str">
        <f>VLOOKUP(main_001_90runs__2[[#This Row],[prompt]],tasks!B:E,3,FALSE)</f>
        <v>medium</v>
      </c>
      <c r="U12" t="str">
        <f>VLOOKUP(main_001_90runs__2[[#This Row],[prompt]],tasks!B:E,4,FALSE)</f>
        <v>Executive summary</v>
      </c>
    </row>
    <row r="13" spans="1:21" hidden="1" x14ac:dyDescent="0.25">
      <c r="A13">
        <v>1780578589961</v>
      </c>
      <c r="B13" t="s">
        <v>55</v>
      </c>
      <c r="C13">
        <v>1</v>
      </c>
      <c r="D13" t="s">
        <v>29</v>
      </c>
      <c r="E13" s="1">
        <v>46177.67349494213</v>
      </c>
      <c r="F13" s="4" t="s">
        <v>89</v>
      </c>
      <c r="G13" t="s">
        <v>96</v>
      </c>
      <c r="H13" t="s">
        <v>97</v>
      </c>
      <c r="I13" t="s">
        <v>98</v>
      </c>
      <c r="J13">
        <v>1</v>
      </c>
      <c r="K13">
        <v>0.95</v>
      </c>
      <c r="L13">
        <v>0</v>
      </c>
      <c r="M13">
        <v>0</v>
      </c>
      <c r="N13">
        <v>0</v>
      </c>
      <c r="O13" t="b">
        <v>1</v>
      </c>
      <c r="P13" t="s">
        <v>68</v>
      </c>
      <c r="Q13" t="s">
        <v>34</v>
      </c>
      <c r="R13" s="2">
        <v>4</v>
      </c>
      <c r="S13" t="str">
        <f>VLOOKUP(main_001_90runs__2[[#This Row],[prompt]],tasks!B:E,2,FALSE)</f>
        <v>Knowledge</v>
      </c>
      <c r="T13" t="str">
        <f>VLOOKUP(main_001_90runs__2[[#This Row],[prompt]],tasks!B:E,3,FALSE)</f>
        <v>medium</v>
      </c>
      <c r="U13" t="str">
        <f>VLOOKUP(main_001_90runs__2[[#This Row],[prompt]],tasks!B:E,4,FALSE)</f>
        <v>Executive summary</v>
      </c>
    </row>
    <row r="14" spans="1:21" x14ac:dyDescent="0.25">
      <c r="A14">
        <v>1780578618719</v>
      </c>
      <c r="B14" t="s">
        <v>55</v>
      </c>
      <c r="C14">
        <v>1</v>
      </c>
      <c r="D14" t="s">
        <v>18</v>
      </c>
      <c r="E14" s="1">
        <v>46177.673827766201</v>
      </c>
      <c r="F14" s="4" t="s">
        <v>99</v>
      </c>
      <c r="G14" t="s">
        <v>100</v>
      </c>
      <c r="H14" t="s">
        <v>101</v>
      </c>
      <c r="I14" t="s">
        <v>102</v>
      </c>
      <c r="J14">
        <v>1</v>
      </c>
      <c r="L14">
        <v>0</v>
      </c>
      <c r="M14">
        <v>0</v>
      </c>
      <c r="N14">
        <v>0</v>
      </c>
      <c r="O14" t="b">
        <v>1</v>
      </c>
      <c r="P14" t="s">
        <v>60</v>
      </c>
      <c r="Q14" t="s">
        <v>366</v>
      </c>
      <c r="R14" s="2">
        <v>5</v>
      </c>
      <c r="S14" t="str">
        <f>VLOOKUP(main_001_90runs__2[[#This Row],[prompt]],tasks!B:E,2,FALSE)</f>
        <v>Knowledge</v>
      </c>
      <c r="T14" t="str">
        <f>VLOOKUP(main_001_90runs__2[[#This Row],[prompt]],tasks!B:E,3,FALSE)</f>
        <v>medium</v>
      </c>
      <c r="U14" t="str">
        <f>VLOOKUP(main_001_90runs__2[[#This Row],[prompt]],tasks!B:E,4,FALSE)</f>
        <v>Risk assessment</v>
      </c>
    </row>
    <row r="15" spans="1:21" hidden="1" x14ac:dyDescent="0.25">
      <c r="A15">
        <v>1780578629992</v>
      </c>
      <c r="B15" t="s">
        <v>55</v>
      </c>
      <c r="C15">
        <v>1</v>
      </c>
      <c r="D15" t="s">
        <v>24</v>
      </c>
      <c r="E15" s="1">
        <v>46177.673958263891</v>
      </c>
      <c r="F15" s="4" t="s">
        <v>99</v>
      </c>
      <c r="G15" t="s">
        <v>103</v>
      </c>
      <c r="H15" t="s">
        <v>104</v>
      </c>
      <c r="I15" t="s">
        <v>105</v>
      </c>
      <c r="J15">
        <v>1</v>
      </c>
      <c r="L15">
        <v>0</v>
      </c>
      <c r="M15">
        <v>0</v>
      </c>
      <c r="N15">
        <v>0</v>
      </c>
      <c r="O15" t="b">
        <v>1</v>
      </c>
      <c r="P15" t="s">
        <v>64</v>
      </c>
      <c r="Q15" t="s">
        <v>366</v>
      </c>
      <c r="R15" s="2">
        <v>5</v>
      </c>
      <c r="S15" t="str">
        <f>VLOOKUP(main_001_90runs__2[[#This Row],[prompt]],tasks!B:E,2,FALSE)</f>
        <v>Knowledge</v>
      </c>
      <c r="T15" t="str">
        <f>VLOOKUP(main_001_90runs__2[[#This Row],[prompt]],tasks!B:E,3,FALSE)</f>
        <v>medium</v>
      </c>
      <c r="U15" t="str">
        <f>VLOOKUP(main_001_90runs__2[[#This Row],[prompt]],tasks!B:E,4,FALSE)</f>
        <v>Risk assessment</v>
      </c>
    </row>
    <row r="16" spans="1:21" hidden="1" x14ac:dyDescent="0.25">
      <c r="A16">
        <v>1780578642455</v>
      </c>
      <c r="B16" t="s">
        <v>55</v>
      </c>
      <c r="C16">
        <v>1</v>
      </c>
      <c r="D16" t="s">
        <v>29</v>
      </c>
      <c r="E16" s="1">
        <v>46177.674102500001</v>
      </c>
      <c r="F16" s="4" t="s">
        <v>99</v>
      </c>
      <c r="G16" t="s">
        <v>106</v>
      </c>
      <c r="H16" t="s">
        <v>107</v>
      </c>
      <c r="I16" t="s">
        <v>108</v>
      </c>
      <c r="J16">
        <v>1</v>
      </c>
      <c r="K16">
        <v>0.95</v>
      </c>
      <c r="L16">
        <v>0</v>
      </c>
      <c r="M16">
        <v>0</v>
      </c>
      <c r="N16">
        <v>0</v>
      </c>
      <c r="O16" t="b">
        <v>1</v>
      </c>
      <c r="P16" t="s">
        <v>68</v>
      </c>
      <c r="Q16" t="s">
        <v>34</v>
      </c>
      <c r="R16" s="2">
        <v>5</v>
      </c>
      <c r="S16" t="str">
        <f>VLOOKUP(main_001_90runs__2[[#This Row],[prompt]],tasks!B:E,2,FALSE)</f>
        <v>Knowledge</v>
      </c>
      <c r="T16" t="str">
        <f>VLOOKUP(main_001_90runs__2[[#This Row],[prompt]],tasks!B:E,3,FALSE)</f>
        <v>medium</v>
      </c>
      <c r="U16" t="str">
        <f>VLOOKUP(main_001_90runs__2[[#This Row],[prompt]],tasks!B:E,4,FALSE)</f>
        <v>Risk assessment</v>
      </c>
    </row>
    <row r="17" spans="1:21" x14ac:dyDescent="0.25">
      <c r="A17">
        <v>1780592134171</v>
      </c>
      <c r="B17" t="s">
        <v>55</v>
      </c>
      <c r="C17">
        <v>1</v>
      </c>
      <c r="D17" t="s">
        <v>18</v>
      </c>
      <c r="E17" s="1">
        <v>46177.830256620371</v>
      </c>
      <c r="F17" s="4" t="s">
        <v>109</v>
      </c>
      <c r="G17" t="s">
        <v>110</v>
      </c>
      <c r="H17" t="s">
        <v>111</v>
      </c>
      <c r="I17" t="s">
        <v>112</v>
      </c>
      <c r="J17">
        <v>1</v>
      </c>
      <c r="L17">
        <v>0</v>
      </c>
      <c r="M17">
        <v>0</v>
      </c>
      <c r="N17">
        <v>0</v>
      </c>
      <c r="O17" t="b">
        <v>1</v>
      </c>
      <c r="P17" t="s">
        <v>60</v>
      </c>
      <c r="Q17" t="s">
        <v>366</v>
      </c>
      <c r="R17" s="2">
        <v>6</v>
      </c>
      <c r="S17" t="str">
        <f>VLOOKUP(main_001_90runs__2[[#This Row],[prompt]],tasks!B:E,2,FALSE)</f>
        <v>Knowledge</v>
      </c>
      <c r="T17" t="str">
        <f>VLOOKUP(main_001_90runs__2[[#This Row],[prompt]],tasks!B:E,3,FALSE)</f>
        <v>medium</v>
      </c>
      <c r="U17" t="str">
        <f>VLOOKUP(main_001_90runs__2[[#This Row],[prompt]],tasks!B:E,4,FALSE)</f>
        <v>Structured comparison</v>
      </c>
    </row>
    <row r="18" spans="1:21" hidden="1" x14ac:dyDescent="0.25">
      <c r="A18">
        <v>1780592144663</v>
      </c>
      <c r="B18" t="s">
        <v>55</v>
      </c>
      <c r="C18">
        <v>1</v>
      </c>
      <c r="D18" t="s">
        <v>24</v>
      </c>
      <c r="E18" s="1">
        <v>46177.830378055558</v>
      </c>
      <c r="F18" s="4" t="s">
        <v>109</v>
      </c>
      <c r="G18" t="s">
        <v>388</v>
      </c>
      <c r="H18" t="s">
        <v>389</v>
      </c>
      <c r="I18" t="s">
        <v>113</v>
      </c>
      <c r="J18">
        <v>1</v>
      </c>
      <c r="L18">
        <v>0</v>
      </c>
      <c r="M18">
        <v>0</v>
      </c>
      <c r="N18">
        <v>0</v>
      </c>
      <c r="O18" t="b">
        <v>1</v>
      </c>
      <c r="P18" t="s">
        <v>64</v>
      </c>
      <c r="Q18" t="s">
        <v>366</v>
      </c>
      <c r="R18" s="2">
        <v>6</v>
      </c>
      <c r="S18" t="str">
        <f>VLOOKUP(main_001_90runs__2[[#This Row],[prompt]],tasks!B:E,2,FALSE)</f>
        <v>Knowledge</v>
      </c>
      <c r="T18" t="str">
        <f>VLOOKUP(main_001_90runs__2[[#This Row],[prompt]],tasks!B:E,3,FALSE)</f>
        <v>medium</v>
      </c>
      <c r="U18" t="str">
        <f>VLOOKUP(main_001_90runs__2[[#This Row],[prompt]],tasks!B:E,4,FALSE)</f>
        <v>Structured comparison</v>
      </c>
    </row>
    <row r="19" spans="1:21" hidden="1" x14ac:dyDescent="0.25">
      <c r="A19">
        <v>1780592161109</v>
      </c>
      <c r="B19" t="s">
        <v>55</v>
      </c>
      <c r="C19">
        <v>1</v>
      </c>
      <c r="D19" t="s">
        <v>29</v>
      </c>
      <c r="E19" s="1">
        <v>46177.83056840278</v>
      </c>
      <c r="F19" s="4" t="s">
        <v>109</v>
      </c>
      <c r="G19" t="s">
        <v>114</v>
      </c>
      <c r="H19" t="s">
        <v>115</v>
      </c>
      <c r="I19" t="s">
        <v>116</v>
      </c>
      <c r="J19">
        <v>1</v>
      </c>
      <c r="K19">
        <v>0.98</v>
      </c>
      <c r="L19">
        <v>0</v>
      </c>
      <c r="M19">
        <v>0</v>
      </c>
      <c r="N19">
        <v>0</v>
      </c>
      <c r="O19" t="b">
        <v>1</v>
      </c>
      <c r="P19" t="s">
        <v>68</v>
      </c>
      <c r="Q19" t="s">
        <v>34</v>
      </c>
      <c r="R19" s="2">
        <v>6</v>
      </c>
      <c r="S19" t="str">
        <f>VLOOKUP(main_001_90runs__2[[#This Row],[prompt]],tasks!B:E,2,FALSE)</f>
        <v>Knowledge</v>
      </c>
      <c r="T19" t="str">
        <f>VLOOKUP(main_001_90runs__2[[#This Row],[prompt]],tasks!B:E,3,FALSE)</f>
        <v>medium</v>
      </c>
      <c r="U19" t="str">
        <f>VLOOKUP(main_001_90runs__2[[#This Row],[prompt]],tasks!B:E,4,FALSE)</f>
        <v>Structured comparison</v>
      </c>
    </row>
    <row r="20" spans="1:21" x14ac:dyDescent="0.25">
      <c r="A20">
        <v>1780592416686</v>
      </c>
      <c r="B20" t="s">
        <v>55</v>
      </c>
      <c r="C20">
        <v>1</v>
      </c>
      <c r="D20" t="s">
        <v>18</v>
      </c>
      <c r="E20" s="1">
        <v>46177.833526469905</v>
      </c>
      <c r="F20" s="4" t="s">
        <v>117</v>
      </c>
      <c r="G20" t="s">
        <v>118</v>
      </c>
      <c r="H20" t="s">
        <v>119</v>
      </c>
      <c r="I20" t="s">
        <v>120</v>
      </c>
      <c r="J20">
        <v>1</v>
      </c>
      <c r="L20">
        <v>0</v>
      </c>
      <c r="M20">
        <v>0</v>
      </c>
      <c r="N20">
        <v>0</v>
      </c>
      <c r="O20" t="b">
        <v>1</v>
      </c>
      <c r="P20" t="s">
        <v>60</v>
      </c>
      <c r="Q20" t="s">
        <v>366</v>
      </c>
      <c r="R20" s="2">
        <v>7</v>
      </c>
      <c r="S20" t="str">
        <f>VLOOKUP(main_001_90runs__2[[#This Row],[prompt]],tasks!B:E,2,FALSE)</f>
        <v>Knowledge</v>
      </c>
      <c r="T20" t="str">
        <f>VLOOKUP(main_001_90runs__2[[#This Row],[prompt]],tasks!B:E,3,FALSE)</f>
        <v>medium</v>
      </c>
      <c r="U20" t="str">
        <f>VLOOKUP(main_001_90runs__2[[#This Row],[prompt]],tasks!B:E,4,FALSE)</f>
        <v>Technical explanation</v>
      </c>
    </row>
    <row r="21" spans="1:21" hidden="1" x14ac:dyDescent="0.25">
      <c r="A21">
        <v>1780592437302</v>
      </c>
      <c r="B21" t="s">
        <v>55</v>
      </c>
      <c r="C21">
        <v>1</v>
      </c>
      <c r="D21" t="s">
        <v>24</v>
      </c>
      <c r="E21" s="1">
        <v>46177.833765081021</v>
      </c>
      <c r="F21" s="4" t="s">
        <v>117</v>
      </c>
      <c r="G21" t="s">
        <v>121</v>
      </c>
      <c r="H21" t="s">
        <v>122</v>
      </c>
      <c r="I21" t="s">
        <v>123</v>
      </c>
      <c r="J21">
        <v>1</v>
      </c>
      <c r="L21">
        <v>0</v>
      </c>
      <c r="M21">
        <v>0</v>
      </c>
      <c r="N21">
        <v>0</v>
      </c>
      <c r="O21" t="b">
        <v>1</v>
      </c>
      <c r="P21" t="s">
        <v>64</v>
      </c>
      <c r="Q21" t="s">
        <v>366</v>
      </c>
      <c r="R21" s="2">
        <v>7</v>
      </c>
      <c r="S21" t="str">
        <f>VLOOKUP(main_001_90runs__2[[#This Row],[prompt]],tasks!B:E,2,FALSE)</f>
        <v>Knowledge</v>
      </c>
      <c r="T21" t="str">
        <f>VLOOKUP(main_001_90runs__2[[#This Row],[prompt]],tasks!B:E,3,FALSE)</f>
        <v>medium</v>
      </c>
      <c r="U21" t="str">
        <f>VLOOKUP(main_001_90runs__2[[#This Row],[prompt]],tasks!B:E,4,FALSE)</f>
        <v>Technical explanation</v>
      </c>
    </row>
    <row r="22" spans="1:21" hidden="1" x14ac:dyDescent="0.25">
      <c r="A22">
        <v>1780592453508</v>
      </c>
      <c r="B22" t="s">
        <v>55</v>
      </c>
      <c r="C22">
        <v>1</v>
      </c>
      <c r="D22" t="s">
        <v>29</v>
      </c>
      <c r="E22" s="1">
        <v>46177.833952638888</v>
      </c>
      <c r="F22" s="4" t="s">
        <v>117</v>
      </c>
      <c r="G22" t="s">
        <v>390</v>
      </c>
      <c r="H22" t="s">
        <v>391</v>
      </c>
      <c r="I22" t="s">
        <v>124</v>
      </c>
      <c r="J22">
        <v>1</v>
      </c>
      <c r="K22">
        <v>0.95</v>
      </c>
      <c r="L22">
        <v>0</v>
      </c>
      <c r="M22">
        <v>0</v>
      </c>
      <c r="N22">
        <v>0</v>
      </c>
      <c r="O22" t="b">
        <v>1</v>
      </c>
      <c r="P22" t="s">
        <v>68</v>
      </c>
      <c r="Q22" t="s">
        <v>34</v>
      </c>
      <c r="R22" s="2">
        <v>7</v>
      </c>
      <c r="S22" t="str">
        <f>VLOOKUP(main_001_90runs__2[[#This Row],[prompt]],tasks!B:E,2,FALSE)</f>
        <v>Knowledge</v>
      </c>
      <c r="T22" t="str">
        <f>VLOOKUP(main_001_90runs__2[[#This Row],[prompt]],tasks!B:E,3,FALSE)</f>
        <v>medium</v>
      </c>
      <c r="U22" t="str">
        <f>VLOOKUP(main_001_90runs__2[[#This Row],[prompt]],tasks!B:E,4,FALSE)</f>
        <v>Technical explanation</v>
      </c>
    </row>
    <row r="23" spans="1:21" hidden="1" x14ac:dyDescent="0.25">
      <c r="A23">
        <v>1780592534321</v>
      </c>
      <c r="B23" t="s">
        <v>55</v>
      </c>
      <c r="C23">
        <v>1</v>
      </c>
      <c r="D23" t="s">
        <v>24</v>
      </c>
      <c r="E23" s="1">
        <v>46177.834887974539</v>
      </c>
      <c r="F23" s="4" t="s">
        <v>125</v>
      </c>
      <c r="G23" t="s">
        <v>126</v>
      </c>
      <c r="H23" t="s">
        <v>127</v>
      </c>
      <c r="I23" t="s">
        <v>128</v>
      </c>
      <c r="J23">
        <v>1</v>
      </c>
      <c r="L23">
        <v>0</v>
      </c>
      <c r="M23">
        <v>0</v>
      </c>
      <c r="N23">
        <v>0</v>
      </c>
      <c r="O23" t="b">
        <v>1</v>
      </c>
      <c r="P23" t="s">
        <v>64</v>
      </c>
      <c r="Q23" t="s">
        <v>366</v>
      </c>
      <c r="R23" s="2">
        <v>8</v>
      </c>
      <c r="S23" t="str">
        <f>VLOOKUP(main_001_90runs__2[[#This Row],[prompt]],tasks!B:E,2,FALSE)</f>
        <v>Knowledge</v>
      </c>
      <c r="T23" t="str">
        <f>VLOOKUP(main_001_90runs__2[[#This Row],[prompt]],tasks!B:E,3,FALSE)</f>
        <v>hard</v>
      </c>
      <c r="U23" t="str">
        <f>VLOOKUP(main_001_90runs__2[[#This Row],[prompt]],tasks!B:E,4,FALSE)</f>
        <v>Metric framework</v>
      </c>
    </row>
    <row r="24" spans="1:21" x14ac:dyDescent="0.25">
      <c r="A24">
        <v>1780594284298</v>
      </c>
      <c r="B24" t="s">
        <v>55</v>
      </c>
      <c r="C24">
        <v>1</v>
      </c>
      <c r="D24" t="s">
        <v>18</v>
      </c>
      <c r="E24" s="1">
        <v>46177.855142337961</v>
      </c>
      <c r="F24" s="4" t="s">
        <v>125</v>
      </c>
      <c r="G24" t="s">
        <v>151</v>
      </c>
      <c r="H24" t="s">
        <v>152</v>
      </c>
      <c r="I24" t="s">
        <v>153</v>
      </c>
      <c r="J24">
        <v>0.95</v>
      </c>
      <c r="L24">
        <v>0</v>
      </c>
      <c r="M24">
        <v>0</v>
      </c>
      <c r="N24">
        <v>0</v>
      </c>
      <c r="O24" t="b">
        <v>1</v>
      </c>
      <c r="P24" t="s">
        <v>60</v>
      </c>
      <c r="Q24" t="s">
        <v>366</v>
      </c>
      <c r="R24" s="2">
        <v>8</v>
      </c>
      <c r="S24" t="str">
        <f>VLOOKUP(main_001_90runs__2[[#This Row],[prompt]],tasks!B:E,2,FALSE)</f>
        <v>Knowledge</v>
      </c>
      <c r="T24" t="str">
        <f>VLOOKUP(main_001_90runs__2[[#This Row],[prompt]],tasks!B:E,3,FALSE)</f>
        <v>hard</v>
      </c>
      <c r="U24" t="str">
        <f>VLOOKUP(main_001_90runs__2[[#This Row],[prompt]],tasks!B:E,4,FALSE)</f>
        <v>Metric framework</v>
      </c>
    </row>
    <row r="25" spans="1:21" hidden="1" x14ac:dyDescent="0.25">
      <c r="A25">
        <v>1780592545486</v>
      </c>
      <c r="B25" t="s">
        <v>55</v>
      </c>
      <c r="C25">
        <v>1</v>
      </c>
      <c r="D25" t="s">
        <v>29</v>
      </c>
      <c r="E25" s="1">
        <v>46177.835017210651</v>
      </c>
      <c r="F25" s="4" t="s">
        <v>125</v>
      </c>
      <c r="G25" t="s">
        <v>129</v>
      </c>
      <c r="H25" t="s">
        <v>130</v>
      </c>
      <c r="I25" t="s">
        <v>131</v>
      </c>
      <c r="J25">
        <v>1</v>
      </c>
      <c r="K25">
        <v>0.95</v>
      </c>
      <c r="L25">
        <v>0</v>
      </c>
      <c r="M25">
        <v>0</v>
      </c>
      <c r="N25">
        <v>0</v>
      </c>
      <c r="O25" t="b">
        <v>1</v>
      </c>
      <c r="P25" t="s">
        <v>68</v>
      </c>
      <c r="Q25" t="s">
        <v>34</v>
      </c>
      <c r="R25" s="2">
        <v>8</v>
      </c>
      <c r="S25" t="str">
        <f>VLOOKUP(main_001_90runs__2[[#This Row],[prompt]],tasks!B:E,2,FALSE)</f>
        <v>Knowledge</v>
      </c>
      <c r="T25" t="str">
        <f>VLOOKUP(main_001_90runs__2[[#This Row],[prompt]],tasks!B:E,3,FALSE)</f>
        <v>hard</v>
      </c>
      <c r="U25" t="str">
        <f>VLOOKUP(main_001_90runs__2[[#This Row],[prompt]],tasks!B:E,4,FALSE)</f>
        <v>Metric framework</v>
      </c>
    </row>
    <row r="26" spans="1:21" x14ac:dyDescent="0.25">
      <c r="A26">
        <v>1780592630484</v>
      </c>
      <c r="B26" t="s">
        <v>55</v>
      </c>
      <c r="C26">
        <v>1</v>
      </c>
      <c r="D26" t="s">
        <v>18</v>
      </c>
      <c r="E26" s="1">
        <v>46177.836000995369</v>
      </c>
      <c r="F26" s="4" t="s">
        <v>132</v>
      </c>
      <c r="G26" t="s">
        <v>133</v>
      </c>
      <c r="H26" t="s">
        <v>134</v>
      </c>
      <c r="I26" t="s">
        <v>135</v>
      </c>
      <c r="J26">
        <v>0.95</v>
      </c>
      <c r="L26">
        <v>0</v>
      </c>
      <c r="M26">
        <v>0</v>
      </c>
      <c r="N26">
        <v>0</v>
      </c>
      <c r="O26" t="b">
        <v>1</v>
      </c>
      <c r="P26" t="s">
        <v>60</v>
      </c>
      <c r="Q26" t="s">
        <v>366</v>
      </c>
      <c r="R26" s="2">
        <v>9</v>
      </c>
      <c r="S26" t="str">
        <f>VLOOKUP(main_001_90runs__2[[#This Row],[prompt]],tasks!B:E,2,FALSE)</f>
        <v>Knowledge</v>
      </c>
      <c r="T26" t="str">
        <f>VLOOKUP(main_001_90runs__2[[#This Row],[prompt]],tasks!B:E,3,FALSE)</f>
        <v>hard</v>
      </c>
      <c r="U26" t="str">
        <f>VLOOKUP(main_001_90runs__2[[#This Row],[prompt]],tasks!B:E,4,FALSE)</f>
        <v>Analytical report</v>
      </c>
    </row>
    <row r="27" spans="1:21" hidden="1" x14ac:dyDescent="0.25">
      <c r="A27">
        <v>1780592643747</v>
      </c>
      <c r="B27" t="s">
        <v>55</v>
      </c>
      <c r="C27">
        <v>1</v>
      </c>
      <c r="D27" t="s">
        <v>24</v>
      </c>
      <c r="E27" s="1">
        <v>46177.836154525467</v>
      </c>
      <c r="F27" s="4" t="s">
        <v>132</v>
      </c>
      <c r="G27" t="s">
        <v>392</v>
      </c>
      <c r="H27" t="s">
        <v>393</v>
      </c>
      <c r="I27" t="s">
        <v>136</v>
      </c>
      <c r="J27">
        <v>0.95</v>
      </c>
      <c r="L27">
        <v>0</v>
      </c>
      <c r="M27">
        <v>0</v>
      </c>
      <c r="N27">
        <v>0</v>
      </c>
      <c r="O27" t="b">
        <v>1</v>
      </c>
      <c r="P27" t="s">
        <v>64</v>
      </c>
      <c r="Q27" t="s">
        <v>366</v>
      </c>
      <c r="R27" s="2">
        <v>9</v>
      </c>
      <c r="S27" t="str">
        <f>VLOOKUP(main_001_90runs__2[[#This Row],[prompt]],tasks!B:E,2,FALSE)</f>
        <v>Knowledge</v>
      </c>
      <c r="T27" t="str">
        <f>VLOOKUP(main_001_90runs__2[[#This Row],[prompt]],tasks!B:E,3,FALSE)</f>
        <v>hard</v>
      </c>
      <c r="U27" t="str">
        <f>VLOOKUP(main_001_90runs__2[[#This Row],[prompt]],tasks!B:E,4,FALSE)</f>
        <v>Analytical report</v>
      </c>
    </row>
    <row r="28" spans="1:21" hidden="1" x14ac:dyDescent="0.25">
      <c r="A28">
        <v>1780592655630</v>
      </c>
      <c r="B28" t="s">
        <v>55</v>
      </c>
      <c r="C28">
        <v>1</v>
      </c>
      <c r="D28" t="s">
        <v>29</v>
      </c>
      <c r="E28" s="1">
        <v>46177.836292025466</v>
      </c>
      <c r="F28" s="4" t="s">
        <v>132</v>
      </c>
      <c r="G28" t="s">
        <v>137</v>
      </c>
      <c r="H28" t="s">
        <v>138</v>
      </c>
      <c r="I28" t="s">
        <v>139</v>
      </c>
      <c r="J28">
        <v>0.95</v>
      </c>
      <c r="K28">
        <v>0.92</v>
      </c>
      <c r="L28">
        <v>0</v>
      </c>
      <c r="M28">
        <v>0</v>
      </c>
      <c r="N28">
        <v>0</v>
      </c>
      <c r="O28" t="b">
        <v>1</v>
      </c>
      <c r="P28" t="s">
        <v>68</v>
      </c>
      <c r="Q28" t="s">
        <v>34</v>
      </c>
      <c r="R28" s="2">
        <v>9</v>
      </c>
      <c r="S28" t="str">
        <f>VLOOKUP(main_001_90runs__2[[#This Row],[prompt]],tasks!B:E,2,FALSE)</f>
        <v>Knowledge</v>
      </c>
      <c r="T28" t="str">
        <f>VLOOKUP(main_001_90runs__2[[#This Row],[prompt]],tasks!B:E,3,FALSE)</f>
        <v>hard</v>
      </c>
      <c r="U28" t="str">
        <f>VLOOKUP(main_001_90runs__2[[#This Row],[prompt]],tasks!B:E,4,FALSE)</f>
        <v>Analytical report</v>
      </c>
    </row>
    <row r="29" spans="1:21" x14ac:dyDescent="0.25">
      <c r="A29">
        <v>1780592707411</v>
      </c>
      <c r="B29" t="s">
        <v>55</v>
      </c>
      <c r="C29">
        <v>1</v>
      </c>
      <c r="D29" t="s">
        <v>18</v>
      </c>
      <c r="E29" s="1">
        <v>46177.836891331019</v>
      </c>
      <c r="F29" s="4" t="s">
        <v>140</v>
      </c>
      <c r="G29" t="s">
        <v>141</v>
      </c>
      <c r="H29" t="s">
        <v>142</v>
      </c>
      <c r="I29" t="s">
        <v>143</v>
      </c>
      <c r="J29">
        <v>0.95</v>
      </c>
      <c r="L29">
        <v>0</v>
      </c>
      <c r="M29">
        <v>0</v>
      </c>
      <c r="N29">
        <v>0</v>
      </c>
      <c r="O29" t="b">
        <v>1</v>
      </c>
      <c r="P29" t="s">
        <v>60</v>
      </c>
      <c r="Q29" t="s">
        <v>366</v>
      </c>
      <c r="R29" s="2">
        <v>10</v>
      </c>
      <c r="S29" t="str">
        <f>VLOOKUP(main_001_90runs__2[[#This Row],[prompt]],tasks!B:E,2,FALSE)</f>
        <v>Knowledge</v>
      </c>
      <c r="T29" t="str">
        <f>VLOOKUP(main_001_90runs__2[[#This Row],[prompt]],tasks!B:E,3,FALSE)</f>
        <v>hard</v>
      </c>
      <c r="U29" t="str">
        <f>VLOOKUP(main_001_90runs__2[[#This Row],[prompt]],tasks!B:E,4,FALSE)</f>
        <v>Architecture recommendation</v>
      </c>
    </row>
    <row r="30" spans="1:21" hidden="1" x14ac:dyDescent="0.25">
      <c r="A30">
        <v>1780592721050</v>
      </c>
      <c r="B30" t="s">
        <v>55</v>
      </c>
      <c r="C30">
        <v>1</v>
      </c>
      <c r="D30" t="s">
        <v>24</v>
      </c>
      <c r="E30" s="1">
        <v>46177.837049189817</v>
      </c>
      <c r="F30" s="4" t="s">
        <v>140</v>
      </c>
      <c r="G30" t="s">
        <v>144</v>
      </c>
      <c r="H30" t="s">
        <v>145</v>
      </c>
      <c r="I30" t="s">
        <v>146</v>
      </c>
      <c r="J30">
        <v>0.95</v>
      </c>
      <c r="L30">
        <v>0</v>
      </c>
      <c r="M30">
        <v>0</v>
      </c>
      <c r="N30">
        <v>0</v>
      </c>
      <c r="O30" t="b">
        <v>1</v>
      </c>
      <c r="P30" t="s">
        <v>64</v>
      </c>
      <c r="Q30" t="s">
        <v>366</v>
      </c>
      <c r="R30" s="2">
        <v>10</v>
      </c>
      <c r="S30" t="str">
        <f>VLOOKUP(main_001_90runs__2[[#This Row],[prompt]],tasks!B:E,2,FALSE)</f>
        <v>Knowledge</v>
      </c>
      <c r="T30" t="str">
        <f>VLOOKUP(main_001_90runs__2[[#This Row],[prompt]],tasks!B:E,3,FALSE)</f>
        <v>hard</v>
      </c>
      <c r="U30" t="str">
        <f>VLOOKUP(main_001_90runs__2[[#This Row],[prompt]],tasks!B:E,4,FALSE)</f>
        <v>Architecture recommendation</v>
      </c>
    </row>
    <row r="31" spans="1:21" hidden="1" x14ac:dyDescent="0.25">
      <c r="A31">
        <v>1780592738156</v>
      </c>
      <c r="B31" t="s">
        <v>55</v>
      </c>
      <c r="C31">
        <v>1</v>
      </c>
      <c r="D31" t="s">
        <v>29</v>
      </c>
      <c r="E31" s="1">
        <v>46177.837247187497</v>
      </c>
      <c r="F31" s="4" t="s">
        <v>140</v>
      </c>
      <c r="G31" t="s">
        <v>147</v>
      </c>
      <c r="H31" t="s">
        <v>148</v>
      </c>
      <c r="I31" t="s">
        <v>149</v>
      </c>
      <c r="J31">
        <v>1</v>
      </c>
      <c r="K31">
        <v>0.92</v>
      </c>
      <c r="L31">
        <v>0</v>
      </c>
      <c r="M31">
        <v>0</v>
      </c>
      <c r="N31">
        <v>0</v>
      </c>
      <c r="O31" t="b">
        <v>1</v>
      </c>
      <c r="P31" t="s">
        <v>68</v>
      </c>
      <c r="Q31" t="s">
        <v>34</v>
      </c>
      <c r="R31" s="2">
        <v>10</v>
      </c>
      <c r="S31" t="str">
        <f>VLOOKUP(main_001_90runs__2[[#This Row],[prompt]],tasks!B:E,2,FALSE)</f>
        <v>Knowledge</v>
      </c>
      <c r="T31" t="str">
        <f>VLOOKUP(main_001_90runs__2[[#This Row],[prompt]],tasks!B:E,3,FALSE)</f>
        <v>hard</v>
      </c>
      <c r="U31" t="str">
        <f>VLOOKUP(main_001_90runs__2[[#This Row],[prompt]],tasks!B:E,4,FALSE)</f>
        <v>Architecture recommendation</v>
      </c>
    </row>
    <row r="32" spans="1:21" x14ac:dyDescent="0.25">
      <c r="A32">
        <v>1780596118666</v>
      </c>
      <c r="B32" t="s">
        <v>55</v>
      </c>
      <c r="C32">
        <v>1</v>
      </c>
      <c r="D32" t="s">
        <v>18</v>
      </c>
      <c r="E32" s="1">
        <v>46177.876373460647</v>
      </c>
      <c r="F32" s="4" t="s">
        <v>154</v>
      </c>
      <c r="G32" t="s">
        <v>155</v>
      </c>
      <c r="H32" t="s">
        <v>156</v>
      </c>
      <c r="I32" t="s">
        <v>157</v>
      </c>
      <c r="J32">
        <v>0.95</v>
      </c>
      <c r="L32">
        <v>0</v>
      </c>
      <c r="M32">
        <v>0</v>
      </c>
      <c r="N32">
        <v>0</v>
      </c>
      <c r="O32" t="b">
        <v>1</v>
      </c>
      <c r="P32" t="s">
        <v>60</v>
      </c>
      <c r="Q32" t="s">
        <v>366</v>
      </c>
      <c r="R32" s="2">
        <v>11</v>
      </c>
      <c r="S32" t="str">
        <f>VLOOKUP(main_001_90runs__2[[#This Row],[prompt]],tasks!B:E,2,FALSE)</f>
        <v>Reasoning</v>
      </c>
      <c r="T32" t="str">
        <f>VLOOKUP(main_001_90runs__2[[#This Row],[prompt]],tasks!B:E,3,FALSE)</f>
        <v>easy</v>
      </c>
      <c r="U32" t="str">
        <f>VLOOKUP(main_001_90runs__2[[#This Row],[prompt]],tasks!B:E,4,FALSE)</f>
        <v>Solution recommendation</v>
      </c>
    </row>
    <row r="33" spans="1:21" hidden="1" x14ac:dyDescent="0.25">
      <c r="A33">
        <v>1780596135290</v>
      </c>
      <c r="B33" t="s">
        <v>55</v>
      </c>
      <c r="C33">
        <v>1</v>
      </c>
      <c r="D33" t="s">
        <v>24</v>
      </c>
      <c r="E33" s="1">
        <v>46177.876565856481</v>
      </c>
      <c r="F33" s="4" t="s">
        <v>154</v>
      </c>
      <c r="G33" t="s">
        <v>158</v>
      </c>
      <c r="H33" t="s">
        <v>159</v>
      </c>
      <c r="I33" t="s">
        <v>160</v>
      </c>
      <c r="J33">
        <v>0.95</v>
      </c>
      <c r="L33">
        <v>0</v>
      </c>
      <c r="M33">
        <v>0</v>
      </c>
      <c r="N33">
        <v>0</v>
      </c>
      <c r="O33" t="b">
        <v>1</v>
      </c>
      <c r="P33" t="s">
        <v>64</v>
      </c>
      <c r="Q33" t="s">
        <v>366</v>
      </c>
      <c r="R33" s="2">
        <v>11</v>
      </c>
      <c r="S33" t="str">
        <f>VLOOKUP(main_001_90runs__2[[#This Row],[prompt]],tasks!B:E,2,FALSE)</f>
        <v>Reasoning</v>
      </c>
      <c r="T33" t="str">
        <f>VLOOKUP(main_001_90runs__2[[#This Row],[prompt]],tasks!B:E,3,FALSE)</f>
        <v>easy</v>
      </c>
      <c r="U33" t="str">
        <f>VLOOKUP(main_001_90runs__2[[#This Row],[prompt]],tasks!B:E,4,FALSE)</f>
        <v>Solution recommendation</v>
      </c>
    </row>
    <row r="34" spans="1:21" hidden="1" x14ac:dyDescent="0.25">
      <c r="A34">
        <v>1780596152936</v>
      </c>
      <c r="B34" t="s">
        <v>55</v>
      </c>
      <c r="C34">
        <v>1</v>
      </c>
      <c r="D34" t="s">
        <v>29</v>
      </c>
      <c r="E34" s="1">
        <v>46177.876770104165</v>
      </c>
      <c r="F34" s="4" t="s">
        <v>154</v>
      </c>
      <c r="G34" t="s">
        <v>161</v>
      </c>
      <c r="H34" t="s">
        <v>162</v>
      </c>
      <c r="I34" t="s">
        <v>163</v>
      </c>
      <c r="J34">
        <v>0.95</v>
      </c>
      <c r="K34">
        <v>0.92</v>
      </c>
      <c r="L34">
        <v>0</v>
      </c>
      <c r="M34">
        <v>0</v>
      </c>
      <c r="N34">
        <v>0</v>
      </c>
      <c r="O34" t="b">
        <v>1</v>
      </c>
      <c r="P34" t="s">
        <v>68</v>
      </c>
      <c r="Q34" t="s">
        <v>34</v>
      </c>
      <c r="R34" s="2">
        <v>11</v>
      </c>
      <c r="S34" t="str">
        <f>VLOOKUP(main_001_90runs__2[[#This Row],[prompt]],tasks!B:E,2,FALSE)</f>
        <v>Reasoning</v>
      </c>
      <c r="T34" t="str">
        <f>VLOOKUP(main_001_90runs__2[[#This Row],[prompt]],tasks!B:E,3,FALSE)</f>
        <v>easy</v>
      </c>
      <c r="U34" t="str">
        <f>VLOOKUP(main_001_90runs__2[[#This Row],[prompt]],tasks!B:E,4,FALSE)</f>
        <v>Solution recommendation</v>
      </c>
    </row>
    <row r="35" spans="1:21" x14ac:dyDescent="0.25">
      <c r="A35">
        <v>1780596953667</v>
      </c>
      <c r="B35" t="s">
        <v>55</v>
      </c>
      <c r="C35">
        <v>1</v>
      </c>
      <c r="D35" t="s">
        <v>18</v>
      </c>
      <c r="E35" s="1">
        <v>46177.886037812503</v>
      </c>
      <c r="F35" s="4" t="s">
        <v>164</v>
      </c>
      <c r="G35" t="s">
        <v>165</v>
      </c>
      <c r="H35" t="s">
        <v>166</v>
      </c>
      <c r="I35" t="s">
        <v>167</v>
      </c>
      <c r="J35">
        <v>1</v>
      </c>
      <c r="L35">
        <v>0</v>
      </c>
      <c r="M35">
        <v>0</v>
      </c>
      <c r="N35">
        <v>0</v>
      </c>
      <c r="O35" t="b">
        <v>1</v>
      </c>
      <c r="P35" t="s">
        <v>60</v>
      </c>
      <c r="Q35" t="s">
        <v>366</v>
      </c>
      <c r="R35" s="2">
        <v>12</v>
      </c>
      <c r="S35" t="str">
        <f>VLOOKUP(main_001_90runs__2[[#This Row],[prompt]],tasks!B:E,2,FALSE)</f>
        <v>Reasoning</v>
      </c>
      <c r="T35" t="str">
        <f>VLOOKUP(main_001_90runs__2[[#This Row],[prompt]],tasks!B:E,3,FALSE)</f>
        <v>easy</v>
      </c>
      <c r="U35" t="str">
        <f>VLOOKUP(main_001_90runs__2[[#This Row],[prompt]],tasks!B:E,4,FALSE)</f>
        <v>Priority classification</v>
      </c>
    </row>
    <row r="36" spans="1:21" hidden="1" x14ac:dyDescent="0.25">
      <c r="A36">
        <v>1780596966596</v>
      </c>
      <c r="B36" t="s">
        <v>55</v>
      </c>
      <c r="C36">
        <v>1</v>
      </c>
      <c r="D36" t="s">
        <v>24</v>
      </c>
      <c r="E36" s="1">
        <v>46177.886187453703</v>
      </c>
      <c r="F36" s="4" t="s">
        <v>164</v>
      </c>
      <c r="G36" t="s">
        <v>168</v>
      </c>
      <c r="H36" t="s">
        <v>169</v>
      </c>
      <c r="I36" t="s">
        <v>170</v>
      </c>
      <c r="J36">
        <v>0.95</v>
      </c>
      <c r="L36">
        <v>0</v>
      </c>
      <c r="M36">
        <v>0</v>
      </c>
      <c r="N36">
        <v>0</v>
      </c>
      <c r="O36" t="b">
        <v>1</v>
      </c>
      <c r="P36" t="s">
        <v>64</v>
      </c>
      <c r="Q36" t="s">
        <v>366</v>
      </c>
      <c r="R36" s="2">
        <v>12</v>
      </c>
      <c r="S36" t="str">
        <f>VLOOKUP(main_001_90runs__2[[#This Row],[prompt]],tasks!B:E,2,FALSE)</f>
        <v>Reasoning</v>
      </c>
      <c r="T36" t="str">
        <f>VLOOKUP(main_001_90runs__2[[#This Row],[prompt]],tasks!B:E,3,FALSE)</f>
        <v>easy</v>
      </c>
      <c r="U36" t="str">
        <f>VLOOKUP(main_001_90runs__2[[#This Row],[prompt]],tasks!B:E,4,FALSE)</f>
        <v>Priority classification</v>
      </c>
    </row>
    <row r="37" spans="1:21" hidden="1" x14ac:dyDescent="0.25">
      <c r="A37">
        <v>1780596983555</v>
      </c>
      <c r="B37" t="s">
        <v>55</v>
      </c>
      <c r="C37">
        <v>1</v>
      </c>
      <c r="D37" t="s">
        <v>29</v>
      </c>
      <c r="E37" s="1">
        <v>46177.886383738427</v>
      </c>
      <c r="F37" s="4" t="s">
        <v>164</v>
      </c>
      <c r="G37" t="s">
        <v>171</v>
      </c>
      <c r="H37" t="s">
        <v>172</v>
      </c>
      <c r="I37" t="s">
        <v>173</v>
      </c>
      <c r="J37">
        <v>1</v>
      </c>
      <c r="K37">
        <v>0.95</v>
      </c>
      <c r="L37">
        <v>0</v>
      </c>
      <c r="M37">
        <v>0</v>
      </c>
      <c r="N37">
        <v>0</v>
      </c>
      <c r="O37" t="b">
        <v>1</v>
      </c>
      <c r="P37" t="s">
        <v>68</v>
      </c>
      <c r="Q37" t="s">
        <v>34</v>
      </c>
      <c r="R37" s="2">
        <v>12</v>
      </c>
      <c r="S37" t="str">
        <f>VLOOKUP(main_001_90runs__2[[#This Row],[prompt]],tasks!B:E,2,FALSE)</f>
        <v>Reasoning</v>
      </c>
      <c r="T37" t="str">
        <f>VLOOKUP(main_001_90runs__2[[#This Row],[prompt]],tasks!B:E,3,FALSE)</f>
        <v>easy</v>
      </c>
      <c r="U37" t="str">
        <f>VLOOKUP(main_001_90runs__2[[#This Row],[prompt]],tasks!B:E,4,FALSE)</f>
        <v>Priority classification</v>
      </c>
    </row>
    <row r="38" spans="1:21" x14ac:dyDescent="0.25">
      <c r="A38">
        <v>1780597606685</v>
      </c>
      <c r="B38" t="s">
        <v>55</v>
      </c>
      <c r="C38">
        <v>1</v>
      </c>
      <c r="D38" t="s">
        <v>18</v>
      </c>
      <c r="E38" s="1">
        <v>46177.893595891204</v>
      </c>
      <c r="F38" s="4" t="s">
        <v>174</v>
      </c>
      <c r="G38" t="s">
        <v>175</v>
      </c>
      <c r="H38" t="s">
        <v>176</v>
      </c>
      <c r="I38" t="s">
        <v>177</v>
      </c>
      <c r="J38">
        <v>0.95</v>
      </c>
      <c r="L38">
        <v>0</v>
      </c>
      <c r="M38">
        <v>0</v>
      </c>
      <c r="N38">
        <v>0</v>
      </c>
      <c r="O38" t="b">
        <v>1</v>
      </c>
      <c r="P38" t="s">
        <v>60</v>
      </c>
      <c r="Q38" t="s">
        <v>366</v>
      </c>
      <c r="R38" s="2">
        <v>13</v>
      </c>
      <c r="S38" t="str">
        <f>VLOOKUP(main_001_90runs__2[[#This Row],[prompt]],tasks!B:E,2,FALSE)</f>
        <v>Reasoning</v>
      </c>
      <c r="T38" t="str">
        <f>VLOOKUP(main_001_90runs__2[[#This Row],[prompt]],tasks!B:E,3,FALSE)</f>
        <v>medium</v>
      </c>
      <c r="U38" t="str">
        <f>VLOOKUP(main_001_90runs__2[[#This Row],[prompt]],tasks!B:E,4,FALSE)</f>
        <v>Workflow design</v>
      </c>
    </row>
    <row r="39" spans="1:21" hidden="1" x14ac:dyDescent="0.25">
      <c r="A39">
        <v>1780597621343</v>
      </c>
      <c r="B39" t="s">
        <v>55</v>
      </c>
      <c r="C39">
        <v>1</v>
      </c>
      <c r="D39" t="s">
        <v>24</v>
      </c>
      <c r="E39" s="1">
        <v>46177.89376554398</v>
      </c>
      <c r="F39" s="4" t="s">
        <v>174</v>
      </c>
      <c r="G39" t="s">
        <v>178</v>
      </c>
      <c r="H39" t="s">
        <v>179</v>
      </c>
      <c r="I39" t="s">
        <v>180</v>
      </c>
      <c r="J39">
        <v>0.95</v>
      </c>
      <c r="L39">
        <v>0</v>
      </c>
      <c r="M39">
        <v>0</v>
      </c>
      <c r="N39">
        <v>0</v>
      </c>
      <c r="O39" t="b">
        <v>1</v>
      </c>
      <c r="P39" t="s">
        <v>64</v>
      </c>
      <c r="Q39" t="s">
        <v>366</v>
      </c>
      <c r="R39" s="2">
        <v>13</v>
      </c>
      <c r="S39" t="str">
        <f>VLOOKUP(main_001_90runs__2[[#This Row],[prompt]],tasks!B:E,2,FALSE)</f>
        <v>Reasoning</v>
      </c>
      <c r="T39" t="str">
        <f>VLOOKUP(main_001_90runs__2[[#This Row],[prompt]],tasks!B:E,3,FALSE)</f>
        <v>medium</v>
      </c>
      <c r="U39" t="str">
        <f>VLOOKUP(main_001_90runs__2[[#This Row],[prompt]],tasks!B:E,4,FALSE)</f>
        <v>Workflow design</v>
      </c>
    </row>
    <row r="40" spans="1:21" hidden="1" x14ac:dyDescent="0.25">
      <c r="A40">
        <v>1780597634783</v>
      </c>
      <c r="B40" t="s">
        <v>55</v>
      </c>
      <c r="C40">
        <v>1</v>
      </c>
      <c r="D40" t="s">
        <v>29</v>
      </c>
      <c r="E40" s="1">
        <v>46177.893921111114</v>
      </c>
      <c r="F40" s="4" t="s">
        <v>174</v>
      </c>
      <c r="G40" t="s">
        <v>181</v>
      </c>
      <c r="H40" t="s">
        <v>182</v>
      </c>
      <c r="I40" t="s">
        <v>183</v>
      </c>
      <c r="J40">
        <v>0.95</v>
      </c>
      <c r="K40">
        <v>0.95</v>
      </c>
      <c r="L40">
        <v>0</v>
      </c>
      <c r="M40">
        <v>0</v>
      </c>
      <c r="N40">
        <v>0</v>
      </c>
      <c r="O40" t="b">
        <v>1</v>
      </c>
      <c r="P40" t="s">
        <v>68</v>
      </c>
      <c r="Q40" t="s">
        <v>34</v>
      </c>
      <c r="R40" s="2">
        <v>13</v>
      </c>
      <c r="S40" t="str">
        <f>VLOOKUP(main_001_90runs__2[[#This Row],[prompt]],tasks!B:E,2,FALSE)</f>
        <v>Reasoning</v>
      </c>
      <c r="T40" t="str">
        <f>VLOOKUP(main_001_90runs__2[[#This Row],[prompt]],tasks!B:E,3,FALSE)</f>
        <v>medium</v>
      </c>
      <c r="U40" t="str">
        <f>VLOOKUP(main_001_90runs__2[[#This Row],[prompt]],tasks!B:E,4,FALSE)</f>
        <v>Workflow design</v>
      </c>
    </row>
    <row r="41" spans="1:21" x14ac:dyDescent="0.25">
      <c r="A41">
        <v>1780598933183</v>
      </c>
      <c r="B41" t="s">
        <v>55</v>
      </c>
      <c r="C41">
        <v>1</v>
      </c>
      <c r="D41" t="s">
        <v>18</v>
      </c>
      <c r="E41" s="1">
        <v>46177.908948877317</v>
      </c>
      <c r="F41" s="4" t="s">
        <v>184</v>
      </c>
      <c r="G41" t="s">
        <v>185</v>
      </c>
      <c r="H41" t="s">
        <v>186</v>
      </c>
      <c r="I41" t="s">
        <v>187</v>
      </c>
      <c r="J41">
        <v>0.95</v>
      </c>
      <c r="L41">
        <v>0</v>
      </c>
      <c r="M41">
        <v>0</v>
      </c>
      <c r="N41">
        <v>0</v>
      </c>
      <c r="O41" t="b">
        <v>1</v>
      </c>
      <c r="P41" t="s">
        <v>60</v>
      </c>
      <c r="Q41" t="s">
        <v>366</v>
      </c>
      <c r="R41" s="2">
        <v>14</v>
      </c>
      <c r="S41" t="str">
        <f>VLOOKUP(main_001_90runs__2[[#This Row],[prompt]],tasks!B:E,2,FALSE)</f>
        <v>Reasoning</v>
      </c>
      <c r="T41" t="str">
        <f>VLOOKUP(main_001_90runs__2[[#This Row],[prompt]],tasks!B:E,3,FALSE)</f>
        <v>medium</v>
      </c>
      <c r="U41" t="str">
        <f>VLOOKUP(main_001_90runs__2[[#This Row],[prompt]],tasks!B:E,4,FALSE)</f>
        <v>Automation recommendations</v>
      </c>
    </row>
    <row r="42" spans="1:21" hidden="1" x14ac:dyDescent="0.25">
      <c r="A42">
        <v>1780598947098</v>
      </c>
      <c r="B42" t="s">
        <v>55</v>
      </c>
      <c r="C42">
        <v>1</v>
      </c>
      <c r="D42" t="s">
        <v>24</v>
      </c>
      <c r="E42" s="1">
        <v>46177.909109942128</v>
      </c>
      <c r="F42" s="4" t="s">
        <v>184</v>
      </c>
      <c r="G42" t="s">
        <v>188</v>
      </c>
      <c r="H42" t="s">
        <v>189</v>
      </c>
      <c r="I42" t="s">
        <v>190</v>
      </c>
      <c r="J42">
        <v>0.95</v>
      </c>
      <c r="L42">
        <v>0</v>
      </c>
      <c r="M42">
        <v>0</v>
      </c>
      <c r="N42">
        <v>0</v>
      </c>
      <c r="O42" t="b">
        <v>1</v>
      </c>
      <c r="P42" t="s">
        <v>64</v>
      </c>
      <c r="Q42" t="s">
        <v>366</v>
      </c>
      <c r="R42" s="2">
        <v>14</v>
      </c>
      <c r="S42" t="str">
        <f>VLOOKUP(main_001_90runs__2[[#This Row],[prompt]],tasks!B:E,2,FALSE)</f>
        <v>Reasoning</v>
      </c>
      <c r="T42" t="str">
        <f>VLOOKUP(main_001_90runs__2[[#This Row],[prompt]],tasks!B:E,3,FALSE)</f>
        <v>medium</v>
      </c>
      <c r="U42" t="str">
        <f>VLOOKUP(main_001_90runs__2[[#This Row],[prompt]],tasks!B:E,4,FALSE)</f>
        <v>Automation recommendations</v>
      </c>
    </row>
    <row r="43" spans="1:21" hidden="1" x14ac:dyDescent="0.25">
      <c r="A43">
        <v>1780598961920</v>
      </c>
      <c r="B43" t="s">
        <v>55</v>
      </c>
      <c r="C43">
        <v>1</v>
      </c>
      <c r="D43" t="s">
        <v>29</v>
      </c>
      <c r="E43" s="1">
        <v>46177.909281493055</v>
      </c>
      <c r="F43" s="4" t="s">
        <v>184</v>
      </c>
      <c r="G43" t="s">
        <v>191</v>
      </c>
      <c r="H43" t="s">
        <v>192</v>
      </c>
      <c r="I43" t="s">
        <v>193</v>
      </c>
      <c r="J43">
        <v>0.98</v>
      </c>
      <c r="K43">
        <v>0.95</v>
      </c>
      <c r="L43">
        <v>0</v>
      </c>
      <c r="M43">
        <v>0</v>
      </c>
      <c r="N43">
        <v>0</v>
      </c>
      <c r="O43" t="b">
        <v>1</v>
      </c>
      <c r="P43" t="s">
        <v>68</v>
      </c>
      <c r="Q43" t="s">
        <v>34</v>
      </c>
      <c r="R43" s="2">
        <v>14</v>
      </c>
      <c r="S43" t="str">
        <f>VLOOKUP(main_001_90runs__2[[#This Row],[prompt]],tasks!B:E,2,FALSE)</f>
        <v>Reasoning</v>
      </c>
      <c r="T43" t="str">
        <f>VLOOKUP(main_001_90runs__2[[#This Row],[prompt]],tasks!B:E,3,FALSE)</f>
        <v>medium</v>
      </c>
      <c r="U43" t="str">
        <f>VLOOKUP(main_001_90runs__2[[#This Row],[prompt]],tasks!B:E,4,FALSE)</f>
        <v>Automation recommendations</v>
      </c>
    </row>
    <row r="44" spans="1:21" x14ac:dyDescent="0.25">
      <c r="A44">
        <v>1780599009856</v>
      </c>
      <c r="B44" t="s">
        <v>55</v>
      </c>
      <c r="C44">
        <v>1</v>
      </c>
      <c r="D44" t="s">
        <v>18</v>
      </c>
      <c r="E44" s="1">
        <v>46177.909836296298</v>
      </c>
      <c r="F44" s="4" t="s">
        <v>194</v>
      </c>
      <c r="G44" t="s">
        <v>195</v>
      </c>
      <c r="H44" t="s">
        <v>196</v>
      </c>
      <c r="I44" t="s">
        <v>197</v>
      </c>
      <c r="J44">
        <v>1</v>
      </c>
      <c r="L44">
        <v>0</v>
      </c>
      <c r="M44">
        <v>0</v>
      </c>
      <c r="N44">
        <v>0</v>
      </c>
      <c r="O44" t="b">
        <v>1</v>
      </c>
      <c r="P44" t="s">
        <v>60</v>
      </c>
      <c r="Q44" t="s">
        <v>366</v>
      </c>
      <c r="R44" s="2">
        <v>15</v>
      </c>
      <c r="S44" t="str">
        <f>VLOOKUP(main_001_90runs__2[[#This Row],[prompt]],tasks!B:E,2,FALSE)</f>
        <v>Reasoning</v>
      </c>
      <c r="T44" t="str">
        <f>VLOOKUP(main_001_90runs__2[[#This Row],[prompt]],tasks!B:E,3,FALSE)</f>
        <v>medium</v>
      </c>
      <c r="U44" t="str">
        <f>VLOOKUP(main_001_90runs__2[[#This Row],[prompt]],tasks!B:E,4,FALSE)</f>
        <v>Report template</v>
      </c>
    </row>
    <row r="45" spans="1:21" hidden="1" x14ac:dyDescent="0.25">
      <c r="A45">
        <v>1780599025011</v>
      </c>
      <c r="B45" t="s">
        <v>55</v>
      </c>
      <c r="C45">
        <v>1</v>
      </c>
      <c r="D45" t="s">
        <v>24</v>
      </c>
      <c r="E45" s="1">
        <v>46177.910011701388</v>
      </c>
      <c r="F45" s="4" t="s">
        <v>194</v>
      </c>
      <c r="G45" t="s">
        <v>198</v>
      </c>
      <c r="H45" t="s">
        <v>199</v>
      </c>
      <c r="I45" t="s">
        <v>200</v>
      </c>
      <c r="J45">
        <v>1</v>
      </c>
      <c r="L45">
        <v>0</v>
      </c>
      <c r="M45">
        <v>0</v>
      </c>
      <c r="N45">
        <v>0</v>
      </c>
      <c r="O45" t="b">
        <v>1</v>
      </c>
      <c r="P45" t="s">
        <v>64</v>
      </c>
      <c r="Q45" t="s">
        <v>366</v>
      </c>
      <c r="R45" s="2">
        <v>15</v>
      </c>
      <c r="S45" t="str">
        <f>VLOOKUP(main_001_90runs__2[[#This Row],[prompt]],tasks!B:E,2,FALSE)</f>
        <v>Reasoning</v>
      </c>
      <c r="T45" t="str">
        <f>VLOOKUP(main_001_90runs__2[[#This Row],[prompt]],tasks!B:E,3,FALSE)</f>
        <v>medium</v>
      </c>
      <c r="U45" t="str">
        <f>VLOOKUP(main_001_90runs__2[[#This Row],[prompt]],tasks!B:E,4,FALSE)</f>
        <v>Report template</v>
      </c>
    </row>
    <row r="46" spans="1:21" hidden="1" x14ac:dyDescent="0.25">
      <c r="A46">
        <v>1780599040960</v>
      </c>
      <c r="B46" t="s">
        <v>55</v>
      </c>
      <c r="C46">
        <v>1</v>
      </c>
      <c r="D46" t="s">
        <v>29</v>
      </c>
      <c r="E46" s="1">
        <v>46177.910196307872</v>
      </c>
      <c r="F46" s="4" t="s">
        <v>194</v>
      </c>
      <c r="G46" t="s">
        <v>394</v>
      </c>
      <c r="H46" t="s">
        <v>395</v>
      </c>
      <c r="I46" t="s">
        <v>201</v>
      </c>
      <c r="J46">
        <v>1</v>
      </c>
      <c r="K46">
        <v>0.95</v>
      </c>
      <c r="L46">
        <v>0</v>
      </c>
      <c r="M46">
        <v>0</v>
      </c>
      <c r="N46">
        <v>0</v>
      </c>
      <c r="O46" t="b">
        <v>1</v>
      </c>
      <c r="P46" t="s">
        <v>68</v>
      </c>
      <c r="Q46" t="s">
        <v>34</v>
      </c>
      <c r="R46" s="2">
        <v>15</v>
      </c>
      <c r="S46" t="str">
        <f>VLOOKUP(main_001_90runs__2[[#This Row],[prompt]],tasks!B:E,2,FALSE)</f>
        <v>Reasoning</v>
      </c>
      <c r="T46" t="str">
        <f>VLOOKUP(main_001_90runs__2[[#This Row],[prompt]],tasks!B:E,3,FALSE)</f>
        <v>medium</v>
      </c>
      <c r="U46" t="str">
        <f>VLOOKUP(main_001_90runs__2[[#This Row],[prompt]],tasks!B:E,4,FALSE)</f>
        <v>Report template</v>
      </c>
    </row>
    <row r="47" spans="1:21" x14ac:dyDescent="0.25">
      <c r="A47">
        <v>1780599513611</v>
      </c>
      <c r="B47" t="s">
        <v>55</v>
      </c>
      <c r="C47">
        <v>1</v>
      </c>
      <c r="D47" t="s">
        <v>18</v>
      </c>
      <c r="E47" s="1">
        <v>46177.915666805558</v>
      </c>
      <c r="F47" s="4" t="s">
        <v>202</v>
      </c>
      <c r="G47" t="s">
        <v>203</v>
      </c>
      <c r="H47" t="s">
        <v>204</v>
      </c>
      <c r="I47" t="s">
        <v>205</v>
      </c>
      <c r="J47">
        <v>1</v>
      </c>
      <c r="L47">
        <v>0</v>
      </c>
      <c r="M47">
        <v>0</v>
      </c>
      <c r="N47">
        <v>0</v>
      </c>
      <c r="O47" t="b">
        <v>1</v>
      </c>
      <c r="P47" t="s">
        <v>60</v>
      </c>
      <c r="Q47" t="s">
        <v>366</v>
      </c>
      <c r="R47" s="2">
        <v>16</v>
      </c>
      <c r="S47" t="str">
        <f>VLOOKUP(main_001_90runs__2[[#This Row],[prompt]],tasks!B:E,2,FALSE)</f>
        <v>Reasoning</v>
      </c>
      <c r="T47" t="str">
        <f>VLOOKUP(main_001_90runs__2[[#This Row],[prompt]],tasks!B:E,3,FALSE)</f>
        <v>medium</v>
      </c>
      <c r="U47" t="str">
        <f>VLOOKUP(main_001_90runs__2[[#This Row],[prompt]],tasks!B:E,4,FALSE)</f>
        <v>Professional response</v>
      </c>
    </row>
    <row r="48" spans="1:21" hidden="1" x14ac:dyDescent="0.25">
      <c r="A48">
        <v>1780599526940</v>
      </c>
      <c r="B48" t="s">
        <v>55</v>
      </c>
      <c r="C48">
        <v>1</v>
      </c>
      <c r="D48" t="s">
        <v>24</v>
      </c>
      <c r="E48" s="1">
        <v>46177.915821076385</v>
      </c>
      <c r="F48" s="4" t="s">
        <v>202</v>
      </c>
      <c r="G48" t="s">
        <v>206</v>
      </c>
      <c r="H48" t="s">
        <v>207</v>
      </c>
      <c r="I48" t="s">
        <v>208</v>
      </c>
      <c r="J48">
        <v>1</v>
      </c>
      <c r="L48">
        <v>0</v>
      </c>
      <c r="M48">
        <v>0</v>
      </c>
      <c r="N48">
        <v>0</v>
      </c>
      <c r="O48" t="b">
        <v>1</v>
      </c>
      <c r="P48" t="s">
        <v>64</v>
      </c>
      <c r="Q48" t="s">
        <v>366</v>
      </c>
      <c r="R48" s="2">
        <v>16</v>
      </c>
      <c r="S48" t="str">
        <f>VLOOKUP(main_001_90runs__2[[#This Row],[prompt]],tasks!B:E,2,FALSE)</f>
        <v>Reasoning</v>
      </c>
      <c r="T48" t="str">
        <f>VLOOKUP(main_001_90runs__2[[#This Row],[prompt]],tasks!B:E,3,FALSE)</f>
        <v>medium</v>
      </c>
      <c r="U48" t="str">
        <f>VLOOKUP(main_001_90runs__2[[#This Row],[prompt]],tasks!B:E,4,FALSE)</f>
        <v>Professional response</v>
      </c>
    </row>
    <row r="49" spans="1:21" hidden="1" x14ac:dyDescent="0.25">
      <c r="A49">
        <v>1780599544886</v>
      </c>
      <c r="B49" t="s">
        <v>55</v>
      </c>
      <c r="C49">
        <v>1</v>
      </c>
      <c r="D49" t="s">
        <v>29</v>
      </c>
      <c r="E49" s="1">
        <v>46177.91602877315</v>
      </c>
      <c r="F49" s="4" t="s">
        <v>202</v>
      </c>
      <c r="G49" t="s">
        <v>209</v>
      </c>
      <c r="H49" t="s">
        <v>210</v>
      </c>
      <c r="I49" t="s">
        <v>211</v>
      </c>
      <c r="J49">
        <v>1</v>
      </c>
      <c r="K49">
        <v>0.98</v>
      </c>
      <c r="L49">
        <v>0</v>
      </c>
      <c r="M49">
        <v>0</v>
      </c>
      <c r="N49">
        <v>0</v>
      </c>
      <c r="O49" t="b">
        <v>1</v>
      </c>
      <c r="P49" t="s">
        <v>68</v>
      </c>
      <c r="Q49" t="s">
        <v>34</v>
      </c>
      <c r="R49" s="2">
        <v>16</v>
      </c>
      <c r="S49" t="str">
        <f>VLOOKUP(main_001_90runs__2[[#This Row],[prompt]],tasks!B:E,2,FALSE)</f>
        <v>Reasoning</v>
      </c>
      <c r="T49" t="str">
        <f>VLOOKUP(main_001_90runs__2[[#This Row],[prompt]],tasks!B:E,3,FALSE)</f>
        <v>medium</v>
      </c>
      <c r="U49" t="str">
        <f>VLOOKUP(main_001_90runs__2[[#This Row],[prompt]],tasks!B:E,4,FALSE)</f>
        <v>Professional response</v>
      </c>
    </row>
    <row r="50" spans="1:21" ht="30" x14ac:dyDescent="0.25">
      <c r="A50">
        <v>1780602749112</v>
      </c>
      <c r="B50" t="s">
        <v>55</v>
      </c>
      <c r="C50">
        <v>1</v>
      </c>
      <c r="D50" t="s">
        <v>18</v>
      </c>
      <c r="E50" s="1">
        <v>46177.953114722222</v>
      </c>
      <c r="F50" s="8" t="s">
        <v>212</v>
      </c>
      <c r="G50" t="s">
        <v>213</v>
      </c>
      <c r="H50" t="s">
        <v>214</v>
      </c>
      <c r="I50" t="s">
        <v>215</v>
      </c>
      <c r="J50">
        <v>0</v>
      </c>
      <c r="L50">
        <v>0</v>
      </c>
      <c r="M50">
        <v>0</v>
      </c>
      <c r="N50">
        <v>0</v>
      </c>
      <c r="O50" t="b">
        <v>1</v>
      </c>
      <c r="P50" t="s">
        <v>60</v>
      </c>
      <c r="Q50" t="s">
        <v>366</v>
      </c>
      <c r="R50" s="2">
        <v>17</v>
      </c>
      <c r="S50" t="str">
        <f>VLOOKUP(main_001_90runs__2[[#This Row],[prompt]],tasks!B:E,2,FALSE)</f>
        <v>Reasoning</v>
      </c>
      <c r="T50" t="str">
        <f>VLOOKUP(main_001_90runs__2[[#This Row],[prompt]],tasks!B:E,3,FALSE)</f>
        <v>hard</v>
      </c>
      <c r="U50" t="str">
        <f>VLOOKUP(main_001_90runs__2[[#This Row],[prompt]],tasks!B:E,4,FALSE)</f>
        <v>Theme analysis</v>
      </c>
    </row>
    <row r="51" spans="1:21" hidden="1" x14ac:dyDescent="0.25">
      <c r="A51">
        <v>1780602760115</v>
      </c>
      <c r="B51" t="s">
        <v>55</v>
      </c>
      <c r="C51">
        <v>1</v>
      </c>
      <c r="D51" t="s">
        <v>24</v>
      </c>
      <c r="E51" s="1">
        <v>46177.953242083335</v>
      </c>
      <c r="F51" s="4" t="s">
        <v>212</v>
      </c>
      <c r="G51" t="s">
        <v>216</v>
      </c>
      <c r="H51" t="s">
        <v>217</v>
      </c>
      <c r="I51" t="s">
        <v>218</v>
      </c>
      <c r="J51">
        <v>0.95</v>
      </c>
      <c r="L51">
        <v>0</v>
      </c>
      <c r="M51">
        <v>0</v>
      </c>
      <c r="N51">
        <v>0</v>
      </c>
      <c r="O51" t="b">
        <v>1</v>
      </c>
      <c r="P51" t="s">
        <v>64</v>
      </c>
      <c r="Q51" t="s">
        <v>366</v>
      </c>
      <c r="R51" s="2">
        <v>17</v>
      </c>
      <c r="S51" t="str">
        <f>VLOOKUP(main_001_90runs__2[[#This Row],[prompt]],tasks!B:E,2,FALSE)</f>
        <v>Reasoning</v>
      </c>
      <c r="T51" t="str">
        <f>VLOOKUP(main_001_90runs__2[[#This Row],[prompt]],tasks!B:E,3,FALSE)</f>
        <v>hard</v>
      </c>
      <c r="U51" t="str">
        <f>VLOOKUP(main_001_90runs__2[[#This Row],[prompt]],tasks!B:E,4,FALSE)</f>
        <v>Theme analysis</v>
      </c>
    </row>
    <row r="52" spans="1:21" hidden="1" x14ac:dyDescent="0.25">
      <c r="A52">
        <v>1780602781195</v>
      </c>
      <c r="B52" t="s">
        <v>55</v>
      </c>
      <c r="C52">
        <v>1</v>
      </c>
      <c r="D52" t="s">
        <v>29</v>
      </c>
      <c r="E52" s="1">
        <v>46177.953486064813</v>
      </c>
      <c r="F52" s="4" t="s">
        <v>212</v>
      </c>
      <c r="G52" t="s">
        <v>219</v>
      </c>
      <c r="H52" t="s">
        <v>220</v>
      </c>
      <c r="I52" t="s">
        <v>221</v>
      </c>
      <c r="J52">
        <v>0.98</v>
      </c>
      <c r="K52">
        <v>0.95</v>
      </c>
      <c r="L52">
        <v>0</v>
      </c>
      <c r="M52">
        <v>0</v>
      </c>
      <c r="N52">
        <v>0</v>
      </c>
      <c r="O52" t="b">
        <v>1</v>
      </c>
      <c r="P52" t="s">
        <v>68</v>
      </c>
      <c r="Q52" t="s">
        <v>34</v>
      </c>
      <c r="R52" s="2">
        <v>17</v>
      </c>
      <c r="S52" t="str">
        <f>VLOOKUP(main_001_90runs__2[[#This Row],[prompt]],tasks!B:E,2,FALSE)</f>
        <v>Reasoning</v>
      </c>
      <c r="T52" t="str">
        <f>VLOOKUP(main_001_90runs__2[[#This Row],[prompt]],tasks!B:E,3,FALSE)</f>
        <v>hard</v>
      </c>
      <c r="U52" t="str">
        <f>VLOOKUP(main_001_90runs__2[[#This Row],[prompt]],tasks!B:E,4,FALSE)</f>
        <v>Theme analysis</v>
      </c>
    </row>
    <row r="53" spans="1:21" x14ac:dyDescent="0.25">
      <c r="A53">
        <v>1780602801867</v>
      </c>
      <c r="B53" t="s">
        <v>55</v>
      </c>
      <c r="C53">
        <v>1</v>
      </c>
      <c r="D53" t="s">
        <v>18</v>
      </c>
      <c r="E53" s="1">
        <v>46177.953725312502</v>
      </c>
      <c r="F53" s="4" t="s">
        <v>222</v>
      </c>
      <c r="G53" t="s">
        <v>223</v>
      </c>
      <c r="H53" t="s">
        <v>224</v>
      </c>
      <c r="I53" t="s">
        <v>225</v>
      </c>
      <c r="J53">
        <v>1</v>
      </c>
      <c r="L53">
        <v>0</v>
      </c>
      <c r="M53">
        <v>0</v>
      </c>
      <c r="N53">
        <v>0</v>
      </c>
      <c r="O53" t="b">
        <v>1</v>
      </c>
      <c r="P53" t="s">
        <v>60</v>
      </c>
      <c r="Q53" t="s">
        <v>366</v>
      </c>
      <c r="R53" s="2">
        <v>18</v>
      </c>
      <c r="S53" t="str">
        <f>VLOOKUP(main_001_90runs__2[[#This Row],[prompt]],tasks!B:E,2,FALSE)</f>
        <v>Reasoning</v>
      </c>
      <c r="T53" t="str">
        <f>VLOOKUP(main_001_90runs__2[[#This Row],[prompt]],tasks!B:E,3,FALSE)</f>
        <v>hard</v>
      </c>
      <c r="U53" t="str">
        <f>VLOOKUP(main_001_90runs__2[[#This Row],[prompt]],tasks!B:E,4,FALSE)</f>
        <v>Status update template</v>
      </c>
    </row>
    <row r="54" spans="1:21" hidden="1" x14ac:dyDescent="0.25">
      <c r="A54">
        <v>1780602822044</v>
      </c>
      <c r="B54" t="s">
        <v>55</v>
      </c>
      <c r="C54">
        <v>1</v>
      </c>
      <c r="D54" t="s">
        <v>24</v>
      </c>
      <c r="E54" s="1">
        <v>46177.953958888887</v>
      </c>
      <c r="F54" s="4" t="s">
        <v>222</v>
      </c>
      <c r="G54" t="s">
        <v>226</v>
      </c>
      <c r="H54" t="s">
        <v>227</v>
      </c>
      <c r="I54" t="s">
        <v>228</v>
      </c>
      <c r="J54">
        <v>1</v>
      </c>
      <c r="L54">
        <v>0</v>
      </c>
      <c r="M54">
        <v>0</v>
      </c>
      <c r="N54">
        <v>0</v>
      </c>
      <c r="O54" t="b">
        <v>1</v>
      </c>
      <c r="P54" t="s">
        <v>64</v>
      </c>
      <c r="Q54" t="s">
        <v>366</v>
      </c>
      <c r="R54" s="2">
        <v>18</v>
      </c>
      <c r="S54" t="str">
        <f>VLOOKUP(main_001_90runs__2[[#This Row],[prompt]],tasks!B:E,2,FALSE)</f>
        <v>Reasoning</v>
      </c>
      <c r="T54" t="str">
        <f>VLOOKUP(main_001_90runs__2[[#This Row],[prompt]],tasks!B:E,3,FALSE)</f>
        <v>hard</v>
      </c>
      <c r="U54" t="str">
        <f>VLOOKUP(main_001_90runs__2[[#This Row],[prompt]],tasks!B:E,4,FALSE)</f>
        <v>Status update template</v>
      </c>
    </row>
    <row r="55" spans="1:21" hidden="1" x14ac:dyDescent="0.25">
      <c r="A55">
        <v>1780602837863</v>
      </c>
      <c r="B55" t="s">
        <v>55</v>
      </c>
      <c r="C55">
        <v>1</v>
      </c>
      <c r="D55" t="s">
        <v>29</v>
      </c>
      <c r="E55" s="1">
        <v>46177.954141967595</v>
      </c>
      <c r="F55" s="4" t="s">
        <v>222</v>
      </c>
      <c r="G55" t="s">
        <v>229</v>
      </c>
      <c r="H55" t="s">
        <v>230</v>
      </c>
      <c r="I55" t="s">
        <v>231</v>
      </c>
      <c r="J55">
        <v>1</v>
      </c>
      <c r="K55">
        <v>1</v>
      </c>
      <c r="L55">
        <v>0</v>
      </c>
      <c r="M55">
        <v>0</v>
      </c>
      <c r="N55">
        <v>0</v>
      </c>
      <c r="O55" t="b">
        <v>1</v>
      </c>
      <c r="P55" t="s">
        <v>68</v>
      </c>
      <c r="Q55" t="s">
        <v>34</v>
      </c>
      <c r="R55" s="2">
        <v>18</v>
      </c>
      <c r="S55" t="str">
        <f>VLOOKUP(main_001_90runs__2[[#This Row],[prompt]],tasks!B:E,2,FALSE)</f>
        <v>Reasoning</v>
      </c>
      <c r="T55" t="str">
        <f>VLOOKUP(main_001_90runs__2[[#This Row],[prompt]],tasks!B:E,3,FALSE)</f>
        <v>hard</v>
      </c>
      <c r="U55" t="str">
        <f>VLOOKUP(main_001_90runs__2[[#This Row],[prompt]],tasks!B:E,4,FALSE)</f>
        <v>Status update template</v>
      </c>
    </row>
    <row r="56" spans="1:21" x14ac:dyDescent="0.25">
      <c r="A56">
        <v>1780603555118</v>
      </c>
      <c r="B56" t="s">
        <v>55</v>
      </c>
      <c r="C56">
        <v>1</v>
      </c>
      <c r="D56" t="s">
        <v>18</v>
      </c>
      <c r="E56" s="1">
        <v>46177.962443506942</v>
      </c>
      <c r="F56" s="4" t="s">
        <v>232</v>
      </c>
      <c r="G56" t="s">
        <v>233</v>
      </c>
      <c r="H56" t="s">
        <v>234</v>
      </c>
      <c r="I56" t="s">
        <v>235</v>
      </c>
      <c r="J56">
        <v>1</v>
      </c>
      <c r="L56">
        <v>0</v>
      </c>
      <c r="M56">
        <v>0</v>
      </c>
      <c r="N56">
        <v>0</v>
      </c>
      <c r="O56" t="b">
        <v>1</v>
      </c>
      <c r="P56" t="s">
        <v>60</v>
      </c>
      <c r="Q56" t="s">
        <v>366</v>
      </c>
      <c r="R56" s="2">
        <v>19</v>
      </c>
      <c r="S56" t="str">
        <f>VLOOKUP(main_001_90runs__2[[#This Row],[prompt]],tasks!B:E,2,FALSE)</f>
        <v>Reasoning</v>
      </c>
      <c r="T56" t="str">
        <f>VLOOKUP(main_001_90runs__2[[#This Row],[prompt]],tasks!B:E,3,FALSE)</f>
        <v>hard</v>
      </c>
      <c r="U56" t="str">
        <f>VLOOKUP(main_001_90runs__2[[#This Row],[prompt]],tasks!B:E,4,FALSE)</f>
        <v>KPI framework</v>
      </c>
    </row>
    <row r="57" spans="1:21" hidden="1" x14ac:dyDescent="0.25">
      <c r="A57">
        <v>1780603573661</v>
      </c>
      <c r="B57" t="s">
        <v>55</v>
      </c>
      <c r="C57">
        <v>1</v>
      </c>
      <c r="D57" t="s">
        <v>24</v>
      </c>
      <c r="E57" s="1">
        <v>46177.962658124998</v>
      </c>
      <c r="F57" s="4" t="s">
        <v>232</v>
      </c>
      <c r="G57" t="s">
        <v>236</v>
      </c>
      <c r="H57" t="s">
        <v>237</v>
      </c>
      <c r="I57" t="s">
        <v>238</v>
      </c>
      <c r="J57">
        <v>0.98</v>
      </c>
      <c r="L57">
        <v>0</v>
      </c>
      <c r="M57">
        <v>0</v>
      </c>
      <c r="N57">
        <v>0</v>
      </c>
      <c r="O57" t="b">
        <v>1</v>
      </c>
      <c r="P57" t="s">
        <v>64</v>
      </c>
      <c r="Q57" t="s">
        <v>366</v>
      </c>
      <c r="R57" s="2">
        <v>19</v>
      </c>
      <c r="S57" t="str">
        <f>VLOOKUP(main_001_90runs__2[[#This Row],[prompt]],tasks!B:E,2,FALSE)</f>
        <v>Reasoning</v>
      </c>
      <c r="T57" t="str">
        <f>VLOOKUP(main_001_90runs__2[[#This Row],[prompt]],tasks!B:E,3,FALSE)</f>
        <v>hard</v>
      </c>
      <c r="U57" t="str">
        <f>VLOOKUP(main_001_90runs__2[[#This Row],[prompt]],tasks!B:E,4,FALSE)</f>
        <v>KPI framework</v>
      </c>
    </row>
    <row r="58" spans="1:21" hidden="1" x14ac:dyDescent="0.25">
      <c r="A58">
        <v>1780603608918</v>
      </c>
      <c r="B58" t="s">
        <v>55</v>
      </c>
      <c r="C58">
        <v>1</v>
      </c>
      <c r="D58" t="s">
        <v>29</v>
      </c>
      <c r="E58" s="1">
        <v>46177.963066192133</v>
      </c>
      <c r="F58" s="4" t="s">
        <v>232</v>
      </c>
      <c r="G58" t="s">
        <v>239</v>
      </c>
      <c r="H58" t="s">
        <v>240</v>
      </c>
      <c r="I58" t="s">
        <v>241</v>
      </c>
      <c r="J58">
        <v>0.95</v>
      </c>
      <c r="K58">
        <v>0.92</v>
      </c>
      <c r="L58">
        <v>0</v>
      </c>
      <c r="M58">
        <v>0</v>
      </c>
      <c r="N58">
        <v>0</v>
      </c>
      <c r="O58" t="b">
        <v>1</v>
      </c>
      <c r="P58" t="s">
        <v>68</v>
      </c>
      <c r="Q58" t="s">
        <v>34</v>
      </c>
      <c r="R58" s="2">
        <v>19</v>
      </c>
      <c r="S58" t="str">
        <f>VLOOKUP(main_001_90runs__2[[#This Row],[prompt]],tasks!B:E,2,FALSE)</f>
        <v>Reasoning</v>
      </c>
      <c r="T58" t="str">
        <f>VLOOKUP(main_001_90runs__2[[#This Row],[prompt]],tasks!B:E,3,FALSE)</f>
        <v>hard</v>
      </c>
      <c r="U58" t="str">
        <f>VLOOKUP(main_001_90runs__2[[#This Row],[prompt]],tasks!B:E,4,FALSE)</f>
        <v>KPI framework</v>
      </c>
    </row>
    <row r="59" spans="1:21" x14ac:dyDescent="0.25">
      <c r="A59">
        <v>1780605237361</v>
      </c>
      <c r="B59" t="s">
        <v>55</v>
      </c>
      <c r="C59">
        <v>1</v>
      </c>
      <c r="D59" t="s">
        <v>18</v>
      </c>
      <c r="E59" s="1">
        <v>46177.981913912037</v>
      </c>
      <c r="F59" s="4" t="s">
        <v>242</v>
      </c>
      <c r="G59" t="s">
        <v>243</v>
      </c>
      <c r="H59" t="s">
        <v>244</v>
      </c>
      <c r="I59" t="s">
        <v>245</v>
      </c>
      <c r="J59">
        <v>0.95</v>
      </c>
      <c r="L59">
        <v>0</v>
      </c>
      <c r="M59">
        <v>0</v>
      </c>
      <c r="N59">
        <v>0</v>
      </c>
      <c r="O59" t="b">
        <v>1</v>
      </c>
      <c r="P59" t="s">
        <v>60</v>
      </c>
      <c r="Q59" t="s">
        <v>366</v>
      </c>
      <c r="R59" s="2">
        <v>20</v>
      </c>
      <c r="S59" t="str">
        <f>VLOOKUP(main_001_90runs__2[[#This Row],[prompt]],tasks!B:E,2,FALSE)</f>
        <v>Reasoning</v>
      </c>
      <c r="T59" t="str">
        <f>VLOOKUP(main_001_90runs__2[[#This Row],[prompt]],tasks!B:E,3,FALSE)</f>
        <v>hard</v>
      </c>
      <c r="U59" t="str">
        <f>VLOOKUP(main_001_90runs__2[[#This Row],[prompt]],tasks!B:E,4,FALSE)</f>
        <v>Disaster recovery strategy</v>
      </c>
    </row>
    <row r="60" spans="1:21" hidden="1" x14ac:dyDescent="0.25">
      <c r="A60">
        <v>1780605256470</v>
      </c>
      <c r="B60" t="s">
        <v>55</v>
      </c>
      <c r="C60">
        <v>1</v>
      </c>
      <c r="D60" t="s">
        <v>24</v>
      </c>
      <c r="E60" s="1">
        <v>46177.982135069447</v>
      </c>
      <c r="F60" s="4" t="s">
        <v>242</v>
      </c>
      <c r="G60" t="s">
        <v>246</v>
      </c>
      <c r="H60" t="s">
        <v>247</v>
      </c>
      <c r="I60" t="s">
        <v>248</v>
      </c>
      <c r="J60">
        <v>0.95</v>
      </c>
      <c r="L60">
        <v>0</v>
      </c>
      <c r="M60">
        <v>0</v>
      </c>
      <c r="N60">
        <v>0</v>
      </c>
      <c r="O60" t="b">
        <v>1</v>
      </c>
      <c r="P60" t="s">
        <v>64</v>
      </c>
      <c r="Q60" t="s">
        <v>366</v>
      </c>
      <c r="R60" s="2">
        <v>20</v>
      </c>
      <c r="S60" t="str">
        <f>VLOOKUP(main_001_90runs__2[[#This Row],[prompt]],tasks!B:E,2,FALSE)</f>
        <v>Reasoning</v>
      </c>
      <c r="T60" t="str">
        <f>VLOOKUP(main_001_90runs__2[[#This Row],[prompt]],tasks!B:E,3,FALSE)</f>
        <v>hard</v>
      </c>
      <c r="U60" t="str">
        <f>VLOOKUP(main_001_90runs__2[[#This Row],[prompt]],tasks!B:E,4,FALSE)</f>
        <v>Disaster recovery strategy</v>
      </c>
    </row>
    <row r="61" spans="1:21" hidden="1" x14ac:dyDescent="0.25">
      <c r="A61">
        <v>1780605280827</v>
      </c>
      <c r="B61" t="s">
        <v>55</v>
      </c>
      <c r="C61">
        <v>1</v>
      </c>
      <c r="D61" t="s">
        <v>29</v>
      </c>
      <c r="E61" s="1">
        <v>46177.982417002313</v>
      </c>
      <c r="F61" s="4" t="s">
        <v>242</v>
      </c>
      <c r="G61" t="s">
        <v>249</v>
      </c>
      <c r="H61" t="s">
        <v>250</v>
      </c>
      <c r="I61" t="s">
        <v>251</v>
      </c>
      <c r="J61">
        <v>0.98</v>
      </c>
      <c r="K61">
        <v>0.92</v>
      </c>
      <c r="L61">
        <v>0</v>
      </c>
      <c r="M61">
        <v>0</v>
      </c>
      <c r="N61">
        <v>0</v>
      </c>
      <c r="O61" t="b">
        <v>1</v>
      </c>
      <c r="P61" t="s">
        <v>68</v>
      </c>
      <c r="Q61" t="s">
        <v>34</v>
      </c>
      <c r="R61" s="2">
        <v>20</v>
      </c>
      <c r="S61" t="str">
        <f>VLOOKUP(main_001_90runs__2[[#This Row],[prompt]],tasks!B:E,2,FALSE)</f>
        <v>Reasoning</v>
      </c>
      <c r="T61" t="str">
        <f>VLOOKUP(main_001_90runs__2[[#This Row],[prompt]],tasks!B:E,3,FALSE)</f>
        <v>hard</v>
      </c>
      <c r="U61" t="str">
        <f>VLOOKUP(main_001_90runs__2[[#This Row],[prompt]],tasks!B:E,4,FALSE)</f>
        <v>Disaster recovery strategy</v>
      </c>
    </row>
    <row r="62" spans="1:21" x14ac:dyDescent="0.25">
      <c r="A62">
        <v>1780634787426</v>
      </c>
      <c r="B62" t="s">
        <v>55</v>
      </c>
      <c r="C62">
        <v>1</v>
      </c>
      <c r="D62" t="s">
        <v>18</v>
      </c>
      <c r="E62" s="1">
        <v>46178.32392855324</v>
      </c>
      <c r="F62" s="4" t="s">
        <v>252</v>
      </c>
      <c r="G62" t="s">
        <v>253</v>
      </c>
      <c r="H62" t="s">
        <v>254</v>
      </c>
      <c r="I62" t="s">
        <v>255</v>
      </c>
      <c r="J62">
        <v>1</v>
      </c>
      <c r="L62">
        <v>0</v>
      </c>
      <c r="M62">
        <v>0</v>
      </c>
      <c r="N62">
        <v>0</v>
      </c>
      <c r="O62" t="b">
        <v>1</v>
      </c>
      <c r="P62" t="s">
        <v>60</v>
      </c>
      <c r="Q62" t="s">
        <v>366</v>
      </c>
      <c r="R62" s="2">
        <v>21</v>
      </c>
      <c r="S62" t="str">
        <f>VLOOKUP(main_001_90runs__2[[#This Row],[prompt]],tasks!B:E,2,FALSE)</f>
        <v>Coding</v>
      </c>
      <c r="T62" t="str">
        <f>VLOOKUP(main_001_90runs__2[[#This Row],[prompt]],tasks!B:E,3,FALSE)</f>
        <v>easy</v>
      </c>
      <c r="U62" t="str">
        <f>VLOOKUP(main_001_90runs__2[[#This Row],[prompt]],tasks!B:E,4,FALSE)</f>
        <v>Python code</v>
      </c>
    </row>
    <row r="63" spans="1:21" hidden="1" x14ac:dyDescent="0.25">
      <c r="A63">
        <v>1780634801127</v>
      </c>
      <c r="B63" t="s">
        <v>55</v>
      </c>
      <c r="C63">
        <v>1</v>
      </c>
      <c r="D63" t="s">
        <v>24</v>
      </c>
      <c r="E63" s="1">
        <v>46178.324087129629</v>
      </c>
      <c r="F63" s="4" t="s">
        <v>252</v>
      </c>
      <c r="G63" t="s">
        <v>256</v>
      </c>
      <c r="H63" t="s">
        <v>257</v>
      </c>
      <c r="I63" t="s">
        <v>258</v>
      </c>
      <c r="J63">
        <v>1</v>
      </c>
      <c r="L63">
        <v>0</v>
      </c>
      <c r="M63">
        <v>0</v>
      </c>
      <c r="N63">
        <v>0</v>
      </c>
      <c r="O63" t="b">
        <v>1</v>
      </c>
      <c r="P63" t="s">
        <v>64</v>
      </c>
      <c r="Q63" t="s">
        <v>366</v>
      </c>
      <c r="R63" s="2">
        <v>21</v>
      </c>
      <c r="S63" t="str">
        <f>VLOOKUP(main_001_90runs__2[[#This Row],[prompt]],tasks!B:E,2,FALSE)</f>
        <v>Coding</v>
      </c>
      <c r="T63" t="str">
        <f>VLOOKUP(main_001_90runs__2[[#This Row],[prompt]],tasks!B:E,3,FALSE)</f>
        <v>easy</v>
      </c>
      <c r="U63" t="str">
        <f>VLOOKUP(main_001_90runs__2[[#This Row],[prompt]],tasks!B:E,4,FALSE)</f>
        <v>Python code</v>
      </c>
    </row>
    <row r="64" spans="1:21" hidden="1" x14ac:dyDescent="0.25">
      <c r="A64">
        <v>1780634817329</v>
      </c>
      <c r="B64" t="s">
        <v>55</v>
      </c>
      <c r="C64">
        <v>1</v>
      </c>
      <c r="D64" t="s">
        <v>29</v>
      </c>
      <c r="E64" s="1">
        <v>46178.324274641207</v>
      </c>
      <c r="F64" s="4" t="s">
        <v>252</v>
      </c>
      <c r="G64" t="s">
        <v>259</v>
      </c>
      <c r="H64" t="s">
        <v>260</v>
      </c>
      <c r="I64" t="s">
        <v>261</v>
      </c>
      <c r="J64">
        <v>1</v>
      </c>
      <c r="K64">
        <v>0.85</v>
      </c>
      <c r="L64">
        <v>0</v>
      </c>
      <c r="M64">
        <v>0</v>
      </c>
      <c r="N64">
        <v>0</v>
      </c>
      <c r="O64" t="b">
        <v>1</v>
      </c>
      <c r="P64" t="s">
        <v>68</v>
      </c>
      <c r="Q64" t="s">
        <v>34</v>
      </c>
      <c r="R64" s="2">
        <v>21</v>
      </c>
      <c r="S64" t="str">
        <f>VLOOKUP(main_001_90runs__2[[#This Row],[prompt]],tasks!B:E,2,FALSE)</f>
        <v>Coding</v>
      </c>
      <c r="T64" t="str">
        <f>VLOOKUP(main_001_90runs__2[[#This Row],[prompt]],tasks!B:E,3,FALSE)</f>
        <v>easy</v>
      </c>
      <c r="U64" t="str">
        <f>VLOOKUP(main_001_90runs__2[[#This Row],[prompt]],tasks!B:E,4,FALSE)</f>
        <v>Python code</v>
      </c>
    </row>
    <row r="65" spans="1:21" x14ac:dyDescent="0.25">
      <c r="A65">
        <v>1780634841289</v>
      </c>
      <c r="B65" t="s">
        <v>55</v>
      </c>
      <c r="C65">
        <v>1</v>
      </c>
      <c r="D65" t="s">
        <v>18</v>
      </c>
      <c r="E65" s="1">
        <v>46178.324551967591</v>
      </c>
      <c r="F65" s="4" t="s">
        <v>262</v>
      </c>
      <c r="G65" t="s">
        <v>263</v>
      </c>
      <c r="H65" t="s">
        <v>264</v>
      </c>
      <c r="I65" t="s">
        <v>265</v>
      </c>
      <c r="J65">
        <v>1</v>
      </c>
      <c r="L65">
        <v>0</v>
      </c>
      <c r="M65">
        <v>0</v>
      </c>
      <c r="N65">
        <v>0</v>
      </c>
      <c r="O65" t="b">
        <v>1</v>
      </c>
      <c r="P65" t="s">
        <v>60</v>
      </c>
      <c r="Q65" t="s">
        <v>366</v>
      </c>
      <c r="R65" s="2">
        <v>22</v>
      </c>
      <c r="S65" t="str">
        <f>VLOOKUP(main_001_90runs__2[[#This Row],[prompt]],tasks!B:E,2,FALSE)</f>
        <v>Coding</v>
      </c>
      <c r="T65" t="str">
        <f>VLOOKUP(main_001_90runs__2[[#This Row],[prompt]],tasks!B:E,3,FALSE)</f>
        <v>easy</v>
      </c>
      <c r="U65" t="str">
        <f>VLOOKUP(main_001_90runs__2[[#This Row],[prompt]],tasks!B:E,4,FALSE)</f>
        <v>SQL explanation</v>
      </c>
    </row>
    <row r="66" spans="1:21" hidden="1" x14ac:dyDescent="0.25">
      <c r="A66">
        <v>1780634854354</v>
      </c>
      <c r="B66" t="s">
        <v>55</v>
      </c>
      <c r="C66">
        <v>1</v>
      </c>
      <c r="D66" t="s">
        <v>24</v>
      </c>
      <c r="E66" s="1">
        <v>46178.324703182872</v>
      </c>
      <c r="F66" s="4" t="s">
        <v>262</v>
      </c>
      <c r="G66" t="s">
        <v>266</v>
      </c>
      <c r="H66" t="s">
        <v>267</v>
      </c>
      <c r="I66" t="s">
        <v>268</v>
      </c>
      <c r="J66">
        <v>1</v>
      </c>
      <c r="L66">
        <v>0</v>
      </c>
      <c r="M66">
        <v>0</v>
      </c>
      <c r="N66">
        <v>0</v>
      </c>
      <c r="O66" t="b">
        <v>1</v>
      </c>
      <c r="P66" t="s">
        <v>64</v>
      </c>
      <c r="Q66" t="s">
        <v>366</v>
      </c>
      <c r="R66" s="2">
        <v>22</v>
      </c>
      <c r="S66" t="str">
        <f>VLOOKUP(main_001_90runs__2[[#This Row],[prompt]],tasks!B:E,2,FALSE)</f>
        <v>Coding</v>
      </c>
      <c r="T66" t="str">
        <f>VLOOKUP(main_001_90runs__2[[#This Row],[prompt]],tasks!B:E,3,FALSE)</f>
        <v>easy</v>
      </c>
      <c r="U66" t="str">
        <f>VLOOKUP(main_001_90runs__2[[#This Row],[prompt]],tasks!B:E,4,FALSE)</f>
        <v>SQL explanation</v>
      </c>
    </row>
    <row r="67" spans="1:21" hidden="1" x14ac:dyDescent="0.25">
      <c r="A67">
        <v>1780634871339</v>
      </c>
      <c r="B67" t="s">
        <v>55</v>
      </c>
      <c r="C67">
        <v>1</v>
      </c>
      <c r="D67" t="s">
        <v>29</v>
      </c>
      <c r="E67" s="1">
        <v>46178.324899756946</v>
      </c>
      <c r="F67" s="4" t="s">
        <v>262</v>
      </c>
      <c r="G67" t="s">
        <v>269</v>
      </c>
      <c r="H67" t="s">
        <v>270</v>
      </c>
      <c r="I67" t="s">
        <v>271</v>
      </c>
      <c r="J67">
        <v>1</v>
      </c>
      <c r="K67">
        <v>1</v>
      </c>
      <c r="L67">
        <v>0</v>
      </c>
      <c r="M67">
        <v>0</v>
      </c>
      <c r="N67">
        <v>0</v>
      </c>
      <c r="O67" t="b">
        <v>1</v>
      </c>
      <c r="P67" t="s">
        <v>68</v>
      </c>
      <c r="Q67" t="s">
        <v>34</v>
      </c>
      <c r="R67" s="2">
        <v>22</v>
      </c>
      <c r="S67" t="str">
        <f>VLOOKUP(main_001_90runs__2[[#This Row],[prompt]],tasks!B:E,2,FALSE)</f>
        <v>Coding</v>
      </c>
      <c r="T67" t="str">
        <f>VLOOKUP(main_001_90runs__2[[#This Row],[prompt]],tasks!B:E,3,FALSE)</f>
        <v>easy</v>
      </c>
      <c r="U67" t="str">
        <f>VLOOKUP(main_001_90runs__2[[#This Row],[prompt]],tasks!B:E,4,FALSE)</f>
        <v>SQL explanation</v>
      </c>
    </row>
    <row r="68" spans="1:21" x14ac:dyDescent="0.25">
      <c r="A68">
        <v>1780635142656</v>
      </c>
      <c r="B68" t="s">
        <v>55</v>
      </c>
      <c r="C68">
        <v>1</v>
      </c>
      <c r="D68" t="s">
        <v>18</v>
      </c>
      <c r="E68" s="1">
        <v>46178.328040069442</v>
      </c>
      <c r="F68" s="4" t="s">
        <v>272</v>
      </c>
      <c r="G68" t="s">
        <v>273</v>
      </c>
      <c r="H68" t="s">
        <v>274</v>
      </c>
      <c r="I68" t="s">
        <v>275</v>
      </c>
      <c r="J68">
        <v>1</v>
      </c>
      <c r="L68">
        <v>0</v>
      </c>
      <c r="M68">
        <v>0</v>
      </c>
      <c r="N68">
        <v>0</v>
      </c>
      <c r="O68" t="b">
        <v>1</v>
      </c>
      <c r="P68" t="s">
        <v>60</v>
      </c>
      <c r="Q68" t="s">
        <v>366</v>
      </c>
      <c r="R68" s="2">
        <v>23</v>
      </c>
      <c r="S68" t="str">
        <f>VLOOKUP(main_001_90runs__2[[#This Row],[prompt]],tasks!B:E,2,FALSE)</f>
        <v>Coding</v>
      </c>
      <c r="T68" t="str">
        <f>VLOOKUP(main_001_90runs__2[[#This Row],[prompt]],tasks!B:E,3,FALSE)</f>
        <v>medium</v>
      </c>
      <c r="U68" t="str">
        <f>VLOOKUP(main_001_90runs__2[[#This Row],[prompt]],tasks!B:E,4,FALSE)</f>
        <v>Code review</v>
      </c>
    </row>
    <row r="69" spans="1:21" hidden="1" x14ac:dyDescent="0.25">
      <c r="A69">
        <v>1780635153411</v>
      </c>
      <c r="B69" t="s">
        <v>55</v>
      </c>
      <c r="C69">
        <v>1</v>
      </c>
      <c r="D69" t="s">
        <v>24</v>
      </c>
      <c r="E69" s="1">
        <v>46178.328164479164</v>
      </c>
      <c r="F69" s="4" t="s">
        <v>272</v>
      </c>
      <c r="G69" t="s">
        <v>276</v>
      </c>
      <c r="H69" t="s">
        <v>277</v>
      </c>
      <c r="I69" t="s">
        <v>278</v>
      </c>
      <c r="J69">
        <v>1</v>
      </c>
      <c r="L69">
        <v>0</v>
      </c>
      <c r="M69">
        <v>0</v>
      </c>
      <c r="N69">
        <v>0</v>
      </c>
      <c r="O69" t="b">
        <v>1</v>
      </c>
      <c r="P69" t="s">
        <v>64</v>
      </c>
      <c r="Q69" t="s">
        <v>366</v>
      </c>
      <c r="R69" s="2">
        <v>23</v>
      </c>
      <c r="S69" t="str">
        <f>VLOOKUP(main_001_90runs__2[[#This Row],[prompt]],tasks!B:E,2,FALSE)</f>
        <v>Coding</v>
      </c>
      <c r="T69" t="str">
        <f>VLOOKUP(main_001_90runs__2[[#This Row],[prompt]],tasks!B:E,3,FALSE)</f>
        <v>medium</v>
      </c>
      <c r="U69" t="str">
        <f>VLOOKUP(main_001_90runs__2[[#This Row],[prompt]],tasks!B:E,4,FALSE)</f>
        <v>Code review</v>
      </c>
    </row>
    <row r="70" spans="1:21" hidden="1" x14ac:dyDescent="0.25">
      <c r="A70">
        <v>1780635164675</v>
      </c>
      <c r="B70" t="s">
        <v>55</v>
      </c>
      <c r="C70">
        <v>1</v>
      </c>
      <c r="D70" t="s">
        <v>29</v>
      </c>
      <c r="E70" s="1">
        <v>46178.328294861109</v>
      </c>
      <c r="F70" s="4" t="s">
        <v>272</v>
      </c>
      <c r="G70" t="s">
        <v>279</v>
      </c>
      <c r="H70" t="s">
        <v>280</v>
      </c>
      <c r="I70" t="s">
        <v>281</v>
      </c>
      <c r="J70">
        <v>1</v>
      </c>
      <c r="K70">
        <v>0.95</v>
      </c>
      <c r="L70">
        <v>0</v>
      </c>
      <c r="M70">
        <v>0</v>
      </c>
      <c r="N70">
        <v>0</v>
      </c>
      <c r="O70" t="b">
        <v>1</v>
      </c>
      <c r="P70" t="s">
        <v>68</v>
      </c>
      <c r="Q70" t="s">
        <v>34</v>
      </c>
      <c r="R70" s="2">
        <v>23</v>
      </c>
      <c r="S70" t="str">
        <f>VLOOKUP(main_001_90runs__2[[#This Row],[prompt]],tasks!B:E,2,FALSE)</f>
        <v>Coding</v>
      </c>
      <c r="T70" t="str">
        <f>VLOOKUP(main_001_90runs__2[[#This Row],[prompt]],tasks!B:E,3,FALSE)</f>
        <v>medium</v>
      </c>
      <c r="U70" t="str">
        <f>VLOOKUP(main_001_90runs__2[[#This Row],[prompt]],tasks!B:E,4,FALSE)</f>
        <v>Code review</v>
      </c>
    </row>
    <row r="71" spans="1:21" x14ac:dyDescent="0.25">
      <c r="A71">
        <v>1780635988192</v>
      </c>
      <c r="B71" t="s">
        <v>55</v>
      </c>
      <c r="C71">
        <v>1</v>
      </c>
      <c r="D71" t="s">
        <v>18</v>
      </c>
      <c r="E71" s="1">
        <v>46178.337826296294</v>
      </c>
      <c r="F71" s="4" t="s">
        <v>282</v>
      </c>
      <c r="G71" t="s">
        <v>283</v>
      </c>
      <c r="H71" t="s">
        <v>284</v>
      </c>
      <c r="I71" t="s">
        <v>285</v>
      </c>
      <c r="J71">
        <v>1</v>
      </c>
      <c r="L71">
        <v>0</v>
      </c>
      <c r="M71">
        <v>0</v>
      </c>
      <c r="N71">
        <v>0</v>
      </c>
      <c r="O71" t="b">
        <v>1</v>
      </c>
      <c r="P71" t="s">
        <v>60</v>
      </c>
      <c r="Q71" t="s">
        <v>366</v>
      </c>
      <c r="R71" s="2">
        <v>24</v>
      </c>
      <c r="S71" t="str">
        <f>VLOOKUP(main_001_90runs__2[[#This Row],[prompt]],tasks!B:E,2,FALSE)</f>
        <v>Coding</v>
      </c>
      <c r="T71" t="str">
        <f>VLOOKUP(main_001_90runs__2[[#This Row],[prompt]],tasks!B:E,3,FALSE)</f>
        <v>medium</v>
      </c>
      <c r="U71" t="str">
        <f>VLOOKUP(main_001_90runs__2[[#This Row],[prompt]],tasks!B:E,4,FALSE)</f>
        <v>Integration plan</v>
      </c>
    </row>
    <row r="72" spans="1:21" hidden="1" x14ac:dyDescent="0.25">
      <c r="A72">
        <v>1780636001823</v>
      </c>
      <c r="B72" t="s">
        <v>55</v>
      </c>
      <c r="C72">
        <v>1</v>
      </c>
      <c r="D72" t="s">
        <v>24</v>
      </c>
      <c r="E72" s="1">
        <v>46178.337984062498</v>
      </c>
      <c r="F72" s="4" t="s">
        <v>282</v>
      </c>
      <c r="G72" t="s">
        <v>286</v>
      </c>
      <c r="H72" t="s">
        <v>287</v>
      </c>
      <c r="I72" t="s">
        <v>288</v>
      </c>
      <c r="J72">
        <v>0.95</v>
      </c>
      <c r="L72">
        <v>0</v>
      </c>
      <c r="M72">
        <v>0</v>
      </c>
      <c r="N72">
        <v>0</v>
      </c>
      <c r="O72" t="b">
        <v>1</v>
      </c>
      <c r="P72" t="s">
        <v>64</v>
      </c>
      <c r="Q72" t="s">
        <v>366</v>
      </c>
      <c r="R72" s="2">
        <v>24</v>
      </c>
      <c r="S72" t="str">
        <f>VLOOKUP(main_001_90runs__2[[#This Row],[prompt]],tasks!B:E,2,FALSE)</f>
        <v>Coding</v>
      </c>
      <c r="T72" t="str">
        <f>VLOOKUP(main_001_90runs__2[[#This Row],[prompt]],tasks!B:E,3,FALSE)</f>
        <v>medium</v>
      </c>
      <c r="U72" t="str">
        <f>VLOOKUP(main_001_90runs__2[[#This Row],[prompt]],tasks!B:E,4,FALSE)</f>
        <v>Integration plan</v>
      </c>
    </row>
    <row r="73" spans="1:21" hidden="1" x14ac:dyDescent="0.25">
      <c r="A73">
        <v>1780636024992</v>
      </c>
      <c r="B73" t="s">
        <v>55</v>
      </c>
      <c r="C73">
        <v>1</v>
      </c>
      <c r="D73" t="s">
        <v>29</v>
      </c>
      <c r="E73" s="1">
        <v>46178.3382522338</v>
      </c>
      <c r="F73" s="4" t="s">
        <v>282</v>
      </c>
      <c r="G73" t="s">
        <v>289</v>
      </c>
      <c r="H73" t="s">
        <v>290</v>
      </c>
      <c r="I73" t="s">
        <v>291</v>
      </c>
      <c r="J73">
        <v>0.9</v>
      </c>
      <c r="K73">
        <v>0.4</v>
      </c>
      <c r="L73">
        <v>0</v>
      </c>
      <c r="M73">
        <v>0</v>
      </c>
      <c r="N73">
        <v>0</v>
      </c>
      <c r="O73" t="b">
        <v>1</v>
      </c>
      <c r="P73" t="s">
        <v>68</v>
      </c>
      <c r="Q73" t="s">
        <v>34</v>
      </c>
      <c r="R73" s="2">
        <v>24</v>
      </c>
      <c r="S73" t="str">
        <f>VLOOKUP(main_001_90runs__2[[#This Row],[prompt]],tasks!B:E,2,FALSE)</f>
        <v>Coding</v>
      </c>
      <c r="T73" t="str">
        <f>VLOOKUP(main_001_90runs__2[[#This Row],[prompt]],tasks!B:E,3,FALSE)</f>
        <v>medium</v>
      </c>
      <c r="U73" t="str">
        <f>VLOOKUP(main_001_90runs__2[[#This Row],[prompt]],tasks!B:E,4,FALSE)</f>
        <v>Integration plan</v>
      </c>
    </row>
    <row r="74" spans="1:21" x14ac:dyDescent="0.25">
      <c r="A74">
        <v>1780636134963</v>
      </c>
      <c r="B74" t="s">
        <v>55</v>
      </c>
      <c r="C74">
        <v>1</v>
      </c>
      <c r="D74" t="s">
        <v>18</v>
      </c>
      <c r="E74" s="1">
        <v>46178.339525034724</v>
      </c>
      <c r="F74" s="4" t="s">
        <v>292</v>
      </c>
      <c r="G74" t="s">
        <v>293</v>
      </c>
      <c r="H74" t="s">
        <v>294</v>
      </c>
      <c r="I74" t="s">
        <v>295</v>
      </c>
      <c r="J74">
        <v>1</v>
      </c>
      <c r="L74">
        <v>0</v>
      </c>
      <c r="M74">
        <v>0</v>
      </c>
      <c r="N74">
        <v>0</v>
      </c>
      <c r="O74" t="b">
        <v>1</v>
      </c>
      <c r="P74" t="s">
        <v>60</v>
      </c>
      <c r="Q74" t="s">
        <v>366</v>
      </c>
      <c r="R74" s="2">
        <v>25</v>
      </c>
      <c r="S74" t="str">
        <f>VLOOKUP(main_001_90runs__2[[#This Row],[prompt]],tasks!B:E,2,FALSE)</f>
        <v>Coding</v>
      </c>
      <c r="T74" t="str">
        <f>VLOOKUP(main_001_90runs__2[[#This Row],[prompt]],tasks!B:E,3,FALSE)</f>
        <v>medium</v>
      </c>
      <c r="U74" t="str">
        <f>VLOOKUP(main_001_90runs__2[[#This Row],[prompt]],tasks!B:E,4,FALSE)</f>
        <v>Pseudocode</v>
      </c>
    </row>
    <row r="75" spans="1:21" hidden="1" x14ac:dyDescent="0.25">
      <c r="A75">
        <v>1780636146258</v>
      </c>
      <c r="B75" t="s">
        <v>55</v>
      </c>
      <c r="C75">
        <v>1</v>
      </c>
      <c r="D75" t="s">
        <v>24</v>
      </c>
      <c r="E75" s="1">
        <v>46178.33965577546</v>
      </c>
      <c r="F75" s="4" t="s">
        <v>292</v>
      </c>
      <c r="G75" t="s">
        <v>296</v>
      </c>
      <c r="H75" t="s">
        <v>297</v>
      </c>
      <c r="I75" t="s">
        <v>298</v>
      </c>
      <c r="J75">
        <v>1</v>
      </c>
      <c r="L75">
        <v>0</v>
      </c>
      <c r="M75">
        <v>0</v>
      </c>
      <c r="N75">
        <v>0</v>
      </c>
      <c r="O75" t="b">
        <v>1</v>
      </c>
      <c r="P75" t="s">
        <v>64</v>
      </c>
      <c r="Q75" t="s">
        <v>366</v>
      </c>
      <c r="R75" s="2">
        <v>25</v>
      </c>
      <c r="S75" t="str">
        <f>VLOOKUP(main_001_90runs__2[[#This Row],[prompt]],tasks!B:E,2,FALSE)</f>
        <v>Coding</v>
      </c>
      <c r="T75" t="str">
        <f>VLOOKUP(main_001_90runs__2[[#This Row],[prompt]],tasks!B:E,3,FALSE)</f>
        <v>medium</v>
      </c>
      <c r="U75" t="str">
        <f>VLOOKUP(main_001_90runs__2[[#This Row],[prompt]],tasks!B:E,4,FALSE)</f>
        <v>Pseudocode</v>
      </c>
    </row>
    <row r="76" spans="1:21" hidden="1" x14ac:dyDescent="0.25">
      <c r="A76">
        <v>1780636167836</v>
      </c>
      <c r="B76" t="s">
        <v>55</v>
      </c>
      <c r="C76">
        <v>1</v>
      </c>
      <c r="D76" t="s">
        <v>29</v>
      </c>
      <c r="E76" s="1">
        <v>46178.339905590277</v>
      </c>
      <c r="F76" s="4" t="s">
        <v>292</v>
      </c>
      <c r="G76" t="s">
        <v>299</v>
      </c>
      <c r="H76" t="s">
        <v>300</v>
      </c>
      <c r="I76" t="s">
        <v>301</v>
      </c>
      <c r="J76">
        <v>1</v>
      </c>
      <c r="K76">
        <v>0.95</v>
      </c>
      <c r="L76">
        <v>0</v>
      </c>
      <c r="M76">
        <v>0</v>
      </c>
      <c r="N76">
        <v>0</v>
      </c>
      <c r="O76" t="b">
        <v>1</v>
      </c>
      <c r="P76" t="s">
        <v>68</v>
      </c>
      <c r="Q76" t="s">
        <v>34</v>
      </c>
      <c r="R76" s="2">
        <v>25</v>
      </c>
      <c r="S76" t="str">
        <f>VLOOKUP(main_001_90runs__2[[#This Row],[prompt]],tasks!B:E,2,FALSE)</f>
        <v>Coding</v>
      </c>
      <c r="T76" t="str">
        <f>VLOOKUP(main_001_90runs__2[[#This Row],[prompt]],tasks!B:E,3,FALSE)</f>
        <v>medium</v>
      </c>
      <c r="U76" t="str">
        <f>VLOOKUP(main_001_90runs__2[[#This Row],[prompt]],tasks!B:E,4,FALSE)</f>
        <v>Pseudocode</v>
      </c>
    </row>
    <row r="77" spans="1:21" x14ac:dyDescent="0.25">
      <c r="A77">
        <v>1780637184549</v>
      </c>
      <c r="B77" t="s">
        <v>55</v>
      </c>
      <c r="C77">
        <v>1</v>
      </c>
      <c r="D77" t="s">
        <v>18</v>
      </c>
      <c r="E77" s="1">
        <v>46178.351673032405</v>
      </c>
      <c r="F77" s="4" t="s">
        <v>302</v>
      </c>
      <c r="G77" t="s">
        <v>303</v>
      </c>
      <c r="H77" t="s">
        <v>304</v>
      </c>
      <c r="I77" t="s">
        <v>305</v>
      </c>
      <c r="J77">
        <v>1</v>
      </c>
      <c r="L77">
        <v>0</v>
      </c>
      <c r="M77">
        <v>0</v>
      </c>
      <c r="N77">
        <v>0</v>
      </c>
      <c r="O77" t="b">
        <v>1</v>
      </c>
      <c r="P77" t="s">
        <v>60</v>
      </c>
      <c r="Q77" t="s">
        <v>366</v>
      </c>
      <c r="R77" s="2">
        <v>26</v>
      </c>
      <c r="S77" t="str">
        <f>VLOOKUP(main_001_90runs__2[[#This Row],[prompt]],tasks!B:E,2,FALSE)</f>
        <v>Coding</v>
      </c>
      <c r="T77" t="str">
        <f>VLOOKUP(main_001_90runs__2[[#This Row],[prompt]],tasks!B:E,3,FALSE)</f>
        <v>hard</v>
      </c>
      <c r="U77" t="str">
        <f>VLOOKUP(main_001_90runs__2[[#This Row],[prompt]],tasks!B:E,4,FALSE)</f>
        <v>Debugging report</v>
      </c>
    </row>
    <row r="78" spans="1:21" hidden="1" x14ac:dyDescent="0.25">
      <c r="A78">
        <v>1780637204715</v>
      </c>
      <c r="B78" t="s">
        <v>55</v>
      </c>
      <c r="C78">
        <v>1</v>
      </c>
      <c r="D78" t="s">
        <v>24</v>
      </c>
      <c r="E78" s="1">
        <v>46178.35190642361</v>
      </c>
      <c r="F78" s="4" t="s">
        <v>302</v>
      </c>
      <c r="G78" t="s">
        <v>306</v>
      </c>
      <c r="H78" t="s">
        <v>307</v>
      </c>
      <c r="I78" t="s">
        <v>308</v>
      </c>
      <c r="J78">
        <v>1</v>
      </c>
      <c r="L78">
        <v>0</v>
      </c>
      <c r="M78">
        <v>0</v>
      </c>
      <c r="N78">
        <v>0</v>
      </c>
      <c r="O78" t="b">
        <v>1</v>
      </c>
      <c r="P78" t="s">
        <v>64</v>
      </c>
      <c r="Q78" t="s">
        <v>366</v>
      </c>
      <c r="R78" s="2">
        <v>26</v>
      </c>
      <c r="S78" t="str">
        <f>VLOOKUP(main_001_90runs__2[[#This Row],[prompt]],tasks!B:E,2,FALSE)</f>
        <v>Coding</v>
      </c>
      <c r="T78" t="str">
        <f>VLOOKUP(main_001_90runs__2[[#This Row],[prompt]],tasks!B:E,3,FALSE)</f>
        <v>hard</v>
      </c>
      <c r="U78" t="str">
        <f>VLOOKUP(main_001_90runs__2[[#This Row],[prompt]],tasks!B:E,4,FALSE)</f>
        <v>Debugging report</v>
      </c>
    </row>
    <row r="79" spans="1:21" hidden="1" x14ac:dyDescent="0.25">
      <c r="A79">
        <v>1780637219139</v>
      </c>
      <c r="B79" t="s">
        <v>55</v>
      </c>
      <c r="C79">
        <v>1</v>
      </c>
      <c r="D79" t="s">
        <v>29</v>
      </c>
      <c r="E79" s="1">
        <v>46178.352073368056</v>
      </c>
      <c r="F79" s="4" t="s">
        <v>302</v>
      </c>
      <c r="G79" t="s">
        <v>309</v>
      </c>
      <c r="H79" t="s">
        <v>310</v>
      </c>
      <c r="I79" t="s">
        <v>311</v>
      </c>
      <c r="J79">
        <v>1</v>
      </c>
      <c r="K79">
        <v>0.95</v>
      </c>
      <c r="L79">
        <v>0</v>
      </c>
      <c r="M79">
        <v>0</v>
      </c>
      <c r="N79">
        <v>0</v>
      </c>
      <c r="O79" t="b">
        <v>1</v>
      </c>
      <c r="P79" t="s">
        <v>68</v>
      </c>
      <c r="Q79" t="s">
        <v>34</v>
      </c>
      <c r="R79" s="2">
        <v>26</v>
      </c>
      <c r="S79" t="str">
        <f>VLOOKUP(main_001_90runs__2[[#This Row],[prompt]],tasks!B:E,2,FALSE)</f>
        <v>Coding</v>
      </c>
      <c r="T79" t="str">
        <f>VLOOKUP(main_001_90runs__2[[#This Row],[prompt]],tasks!B:E,3,FALSE)</f>
        <v>hard</v>
      </c>
      <c r="U79" t="str">
        <f>VLOOKUP(main_001_90runs__2[[#This Row],[prompt]],tasks!B:E,4,FALSE)</f>
        <v>Debugging report</v>
      </c>
    </row>
    <row r="80" spans="1:21" x14ac:dyDescent="0.25">
      <c r="A80">
        <v>1780637310429</v>
      </c>
      <c r="B80" t="s">
        <v>55</v>
      </c>
      <c r="C80">
        <v>1</v>
      </c>
      <c r="D80" t="s">
        <v>18</v>
      </c>
      <c r="E80" s="1">
        <v>46178.353129976851</v>
      </c>
      <c r="F80" s="4" t="s">
        <v>312</v>
      </c>
      <c r="G80" t="s">
        <v>313</v>
      </c>
      <c r="H80" t="s">
        <v>314</v>
      </c>
      <c r="I80" t="s">
        <v>315</v>
      </c>
      <c r="J80">
        <v>1</v>
      </c>
      <c r="L80">
        <v>0</v>
      </c>
      <c r="M80">
        <v>0</v>
      </c>
      <c r="N80">
        <v>0</v>
      </c>
      <c r="O80" t="b">
        <v>1</v>
      </c>
      <c r="P80" t="s">
        <v>60</v>
      </c>
      <c r="Q80" t="s">
        <v>366</v>
      </c>
      <c r="R80" s="2">
        <v>27</v>
      </c>
      <c r="S80" t="str">
        <f>VLOOKUP(main_001_90runs__2[[#This Row],[prompt]],tasks!B:E,2,FALSE)</f>
        <v>Coding</v>
      </c>
      <c r="T80" t="str">
        <f>VLOOKUP(main_001_90runs__2[[#This Row],[prompt]],tasks!B:E,3,FALSE)</f>
        <v>hard</v>
      </c>
      <c r="U80" t="str">
        <f>VLOOKUP(main_001_90runs__2[[#This Row],[prompt]],tasks!B:E,4,FALSE)</f>
        <v>Database schema</v>
      </c>
    </row>
    <row r="81" spans="1:21" hidden="1" x14ac:dyDescent="0.25">
      <c r="A81">
        <v>1780637334917</v>
      </c>
      <c r="B81" t="s">
        <v>55</v>
      </c>
      <c r="C81">
        <v>1</v>
      </c>
      <c r="D81" t="s">
        <v>24</v>
      </c>
      <c r="E81" s="1">
        <v>46178.35341340278</v>
      </c>
      <c r="F81" s="4" t="s">
        <v>312</v>
      </c>
      <c r="G81" t="s">
        <v>316</v>
      </c>
      <c r="H81" t="s">
        <v>317</v>
      </c>
      <c r="I81" t="s">
        <v>318</v>
      </c>
      <c r="J81">
        <v>1</v>
      </c>
      <c r="L81">
        <v>0</v>
      </c>
      <c r="M81">
        <v>0</v>
      </c>
      <c r="N81">
        <v>0</v>
      </c>
      <c r="O81" t="b">
        <v>1</v>
      </c>
      <c r="P81" t="s">
        <v>64</v>
      </c>
      <c r="Q81" t="s">
        <v>366</v>
      </c>
      <c r="R81" s="2">
        <v>27</v>
      </c>
      <c r="S81" t="str">
        <f>VLOOKUP(main_001_90runs__2[[#This Row],[prompt]],tasks!B:E,2,FALSE)</f>
        <v>Coding</v>
      </c>
      <c r="T81" t="str">
        <f>VLOOKUP(main_001_90runs__2[[#This Row],[prompt]],tasks!B:E,3,FALSE)</f>
        <v>hard</v>
      </c>
      <c r="U81" t="str">
        <f>VLOOKUP(main_001_90runs__2[[#This Row],[prompt]],tasks!B:E,4,FALSE)</f>
        <v>Database schema</v>
      </c>
    </row>
    <row r="82" spans="1:21" hidden="1" x14ac:dyDescent="0.25">
      <c r="A82">
        <v>1780637350432</v>
      </c>
      <c r="B82" t="s">
        <v>55</v>
      </c>
      <c r="C82">
        <v>1</v>
      </c>
      <c r="D82" t="s">
        <v>29</v>
      </c>
      <c r="E82" s="1">
        <v>46178.353592974534</v>
      </c>
      <c r="F82" s="4" t="s">
        <v>312</v>
      </c>
      <c r="G82" t="s">
        <v>319</v>
      </c>
      <c r="H82" t="s">
        <v>320</v>
      </c>
      <c r="I82" t="s">
        <v>321</v>
      </c>
      <c r="J82">
        <v>1</v>
      </c>
      <c r="K82">
        <v>0.95</v>
      </c>
      <c r="L82">
        <v>0</v>
      </c>
      <c r="M82">
        <v>0</v>
      </c>
      <c r="N82">
        <v>0</v>
      </c>
      <c r="O82" t="b">
        <v>1</v>
      </c>
      <c r="P82" t="s">
        <v>68</v>
      </c>
      <c r="Q82" t="s">
        <v>34</v>
      </c>
      <c r="R82" s="2">
        <v>27</v>
      </c>
      <c r="S82" t="str">
        <f>VLOOKUP(main_001_90runs__2[[#This Row],[prompt]],tasks!B:E,2,FALSE)</f>
        <v>Coding</v>
      </c>
      <c r="T82" t="str">
        <f>VLOOKUP(main_001_90runs__2[[#This Row],[prompt]],tasks!B:E,3,FALSE)</f>
        <v>hard</v>
      </c>
      <c r="U82" t="str">
        <f>VLOOKUP(main_001_90runs__2[[#This Row],[prompt]],tasks!B:E,4,FALSE)</f>
        <v>Database schema</v>
      </c>
    </row>
    <row r="83" spans="1:21" x14ac:dyDescent="0.25">
      <c r="A83">
        <v>1780637766559</v>
      </c>
      <c r="B83" t="s">
        <v>55</v>
      </c>
      <c r="C83">
        <v>1</v>
      </c>
      <c r="D83" t="s">
        <v>18</v>
      </c>
      <c r="E83" s="1">
        <v>46178.358409270833</v>
      </c>
      <c r="F83" s="4" t="s">
        <v>322</v>
      </c>
      <c r="G83" t="s">
        <v>323</v>
      </c>
      <c r="H83" t="s">
        <v>324</v>
      </c>
      <c r="I83" t="s">
        <v>325</v>
      </c>
      <c r="J83">
        <v>1</v>
      </c>
      <c r="L83">
        <v>0</v>
      </c>
      <c r="M83">
        <v>0</v>
      </c>
      <c r="N83">
        <v>0</v>
      </c>
      <c r="O83" t="b">
        <v>1</v>
      </c>
      <c r="P83" t="s">
        <v>60</v>
      </c>
      <c r="Q83" t="s">
        <v>366</v>
      </c>
      <c r="R83" s="2">
        <v>28</v>
      </c>
      <c r="S83" t="str">
        <f>VLOOKUP(main_001_90runs__2[[#This Row],[prompt]],tasks!B:E,2,FALSE)</f>
        <v>Coding</v>
      </c>
      <c r="T83" t="str">
        <f>VLOOKUP(main_001_90runs__2[[#This Row],[prompt]],tasks!B:E,3,FALSE)</f>
        <v>hard</v>
      </c>
      <c r="U83" t="str">
        <f>VLOOKUP(main_001_90runs__2[[#This Row],[prompt]],tasks!B:E,4,FALSE)</f>
        <v>Test cases</v>
      </c>
    </row>
    <row r="84" spans="1:21" hidden="1" x14ac:dyDescent="0.25">
      <c r="A84">
        <v>1780637782144</v>
      </c>
      <c r="B84" t="s">
        <v>55</v>
      </c>
      <c r="C84">
        <v>1</v>
      </c>
      <c r="D84" t="s">
        <v>24</v>
      </c>
      <c r="E84" s="1">
        <v>46178.358589629628</v>
      </c>
      <c r="F84" s="4" t="s">
        <v>322</v>
      </c>
      <c r="G84" t="s">
        <v>326</v>
      </c>
      <c r="H84" t="s">
        <v>327</v>
      </c>
      <c r="I84" t="s">
        <v>328</v>
      </c>
      <c r="J84">
        <v>1</v>
      </c>
      <c r="L84">
        <v>0</v>
      </c>
      <c r="M84">
        <v>0</v>
      </c>
      <c r="N84">
        <v>0</v>
      </c>
      <c r="O84" t="b">
        <v>1</v>
      </c>
      <c r="P84" t="s">
        <v>64</v>
      </c>
      <c r="Q84" t="s">
        <v>366</v>
      </c>
      <c r="R84" s="2">
        <v>28</v>
      </c>
      <c r="S84" t="str">
        <f>VLOOKUP(main_001_90runs__2[[#This Row],[prompt]],tasks!B:E,2,FALSE)</f>
        <v>Coding</v>
      </c>
      <c r="T84" t="str">
        <f>VLOOKUP(main_001_90runs__2[[#This Row],[prompt]],tasks!B:E,3,FALSE)</f>
        <v>hard</v>
      </c>
      <c r="U84" t="str">
        <f>VLOOKUP(main_001_90runs__2[[#This Row],[prompt]],tasks!B:E,4,FALSE)</f>
        <v>Test cases</v>
      </c>
    </row>
    <row r="85" spans="1:21" hidden="1" x14ac:dyDescent="0.25">
      <c r="A85">
        <v>1780637799178</v>
      </c>
      <c r="B85" t="s">
        <v>55</v>
      </c>
      <c r="C85">
        <v>1</v>
      </c>
      <c r="D85" t="s">
        <v>29</v>
      </c>
      <c r="E85" s="1">
        <v>46178.358786793979</v>
      </c>
      <c r="F85" s="4" t="s">
        <v>322</v>
      </c>
      <c r="G85" t="s">
        <v>329</v>
      </c>
      <c r="H85" t="s">
        <v>330</v>
      </c>
      <c r="I85" t="s">
        <v>331</v>
      </c>
      <c r="J85">
        <v>1</v>
      </c>
      <c r="K85">
        <v>0.95</v>
      </c>
      <c r="L85">
        <v>0</v>
      </c>
      <c r="M85">
        <v>0</v>
      </c>
      <c r="N85">
        <v>0</v>
      </c>
      <c r="O85" t="b">
        <v>1</v>
      </c>
      <c r="P85" t="s">
        <v>68</v>
      </c>
      <c r="Q85" t="s">
        <v>34</v>
      </c>
      <c r="R85" s="2">
        <v>28</v>
      </c>
      <c r="S85" t="str">
        <f>VLOOKUP(main_001_90runs__2[[#This Row],[prompt]],tasks!B:E,2,FALSE)</f>
        <v>Coding</v>
      </c>
      <c r="T85" t="str">
        <f>VLOOKUP(main_001_90runs__2[[#This Row],[prompt]],tasks!B:E,3,FALSE)</f>
        <v>hard</v>
      </c>
      <c r="U85" t="str">
        <f>VLOOKUP(main_001_90runs__2[[#This Row],[prompt]],tasks!B:E,4,FALSE)</f>
        <v>Test cases</v>
      </c>
    </row>
    <row r="86" spans="1:21" x14ac:dyDescent="0.25">
      <c r="A86">
        <v>1780637843444</v>
      </c>
      <c r="B86" t="s">
        <v>55</v>
      </c>
      <c r="C86">
        <v>1</v>
      </c>
      <c r="D86" t="s">
        <v>18</v>
      </c>
      <c r="E86" s="1">
        <v>46178.35929912037</v>
      </c>
      <c r="F86" s="4" t="s">
        <v>332</v>
      </c>
      <c r="G86" t="s">
        <v>333</v>
      </c>
      <c r="H86" t="s">
        <v>334</v>
      </c>
      <c r="I86" t="s">
        <v>335</v>
      </c>
      <c r="J86">
        <v>1</v>
      </c>
      <c r="L86">
        <v>0</v>
      </c>
      <c r="M86">
        <v>0</v>
      </c>
      <c r="N86">
        <v>0</v>
      </c>
      <c r="O86" t="b">
        <v>1</v>
      </c>
      <c r="P86" t="s">
        <v>60</v>
      </c>
      <c r="Q86" t="s">
        <v>366</v>
      </c>
      <c r="R86" s="2">
        <v>29</v>
      </c>
      <c r="S86" t="str">
        <f>VLOOKUP(main_001_90runs__2[[#This Row],[prompt]],tasks!B:E,2,FALSE)</f>
        <v>Coding</v>
      </c>
      <c r="T86" t="str">
        <f>VLOOKUP(main_001_90runs__2[[#This Row],[prompt]],tasks!B:E,3,FALSE)</f>
        <v>hard</v>
      </c>
      <c r="U86" t="str">
        <f>VLOOKUP(main_001_90runs__2[[#This Row],[prompt]],tasks!B:E,4,FALSE)</f>
        <v>Implementation guide</v>
      </c>
    </row>
    <row r="87" spans="1:21" hidden="1" x14ac:dyDescent="0.25">
      <c r="A87">
        <v>1780637855951</v>
      </c>
      <c r="B87" t="s">
        <v>55</v>
      </c>
      <c r="C87">
        <v>1</v>
      </c>
      <c r="D87" t="s">
        <v>24</v>
      </c>
      <c r="E87" s="1">
        <v>46178.359443877314</v>
      </c>
      <c r="F87" s="4" t="s">
        <v>332</v>
      </c>
      <c r="G87" t="s">
        <v>336</v>
      </c>
      <c r="H87" t="s">
        <v>337</v>
      </c>
      <c r="I87" t="s">
        <v>338</v>
      </c>
      <c r="J87">
        <v>1</v>
      </c>
      <c r="L87">
        <v>0</v>
      </c>
      <c r="M87">
        <v>0</v>
      </c>
      <c r="N87">
        <v>0</v>
      </c>
      <c r="O87" t="b">
        <v>1</v>
      </c>
      <c r="P87" t="s">
        <v>64</v>
      </c>
      <c r="Q87" t="s">
        <v>366</v>
      </c>
      <c r="R87" s="2">
        <v>29</v>
      </c>
      <c r="S87" t="str">
        <f>VLOOKUP(main_001_90runs__2[[#This Row],[prompt]],tasks!B:E,2,FALSE)</f>
        <v>Coding</v>
      </c>
      <c r="T87" t="str">
        <f>VLOOKUP(main_001_90runs__2[[#This Row],[prompt]],tasks!B:E,3,FALSE)</f>
        <v>hard</v>
      </c>
      <c r="U87" t="str">
        <f>VLOOKUP(main_001_90runs__2[[#This Row],[prompt]],tasks!B:E,4,FALSE)</f>
        <v>Implementation guide</v>
      </c>
    </row>
    <row r="88" spans="1:21" hidden="1" x14ac:dyDescent="0.25">
      <c r="A88">
        <v>1780637879625</v>
      </c>
      <c r="B88" t="s">
        <v>55</v>
      </c>
      <c r="C88">
        <v>1</v>
      </c>
      <c r="D88" t="s">
        <v>29</v>
      </c>
      <c r="E88" s="1">
        <v>46178.359717881947</v>
      </c>
      <c r="F88" s="4" t="s">
        <v>332</v>
      </c>
      <c r="G88" t="s">
        <v>339</v>
      </c>
      <c r="H88" t="s">
        <v>340</v>
      </c>
      <c r="I88" t="s">
        <v>341</v>
      </c>
      <c r="J88">
        <v>1</v>
      </c>
      <c r="K88">
        <v>0.95</v>
      </c>
      <c r="L88">
        <v>0</v>
      </c>
      <c r="M88">
        <v>0</v>
      </c>
      <c r="N88">
        <v>0</v>
      </c>
      <c r="O88" t="b">
        <v>1</v>
      </c>
      <c r="P88" t="s">
        <v>68</v>
      </c>
      <c r="Q88" t="s">
        <v>34</v>
      </c>
      <c r="R88" s="2">
        <v>29</v>
      </c>
      <c r="S88" t="str">
        <f>VLOOKUP(main_001_90runs__2[[#This Row],[prompt]],tasks!B:E,2,FALSE)</f>
        <v>Coding</v>
      </c>
      <c r="T88" t="str">
        <f>VLOOKUP(main_001_90runs__2[[#This Row],[prompt]],tasks!B:E,3,FALSE)</f>
        <v>hard</v>
      </c>
      <c r="U88" t="str">
        <f>VLOOKUP(main_001_90runs__2[[#This Row],[prompt]],tasks!B:E,4,FALSE)</f>
        <v>Implementation guide</v>
      </c>
    </row>
    <row r="89" spans="1:21" x14ac:dyDescent="0.25">
      <c r="A89">
        <v>1780641143921</v>
      </c>
      <c r="B89" t="s">
        <v>55</v>
      </c>
      <c r="C89">
        <v>1</v>
      </c>
      <c r="D89" t="s">
        <v>18</v>
      </c>
      <c r="E89" s="1">
        <v>46178.39749909722</v>
      </c>
      <c r="F89" s="4" t="s">
        <v>342</v>
      </c>
      <c r="G89" t="s">
        <v>343</v>
      </c>
      <c r="H89" t="s">
        <v>344</v>
      </c>
      <c r="I89" t="s">
        <v>345</v>
      </c>
      <c r="J89">
        <v>0.95</v>
      </c>
      <c r="L89">
        <v>0</v>
      </c>
      <c r="M89">
        <v>0</v>
      </c>
      <c r="N89">
        <v>0</v>
      </c>
      <c r="O89" t="b">
        <v>1</v>
      </c>
      <c r="P89" t="s">
        <v>60</v>
      </c>
      <c r="Q89" t="s">
        <v>366</v>
      </c>
      <c r="R89" s="2">
        <v>30</v>
      </c>
      <c r="S89" t="str">
        <f>VLOOKUP(main_001_90runs__2[[#This Row],[prompt]],tasks!B:E,2,FALSE)</f>
        <v>Coding</v>
      </c>
      <c r="T89" t="str">
        <f>VLOOKUP(main_001_90runs__2[[#This Row],[prompt]],tasks!B:E,3,FALSE)</f>
        <v>hard</v>
      </c>
      <c r="U89" t="str">
        <f>VLOOKUP(main_001_90runs__2[[#This Row],[prompt]],tasks!B:E,4,FALSE)</f>
        <v>Workflow design</v>
      </c>
    </row>
    <row r="90" spans="1:21" hidden="1" x14ac:dyDescent="0.25">
      <c r="A90">
        <v>1780641162554</v>
      </c>
      <c r="B90" t="s">
        <v>55</v>
      </c>
      <c r="C90">
        <v>1</v>
      </c>
      <c r="D90" t="s">
        <v>24</v>
      </c>
      <c r="E90" s="1">
        <v>46178.39771474537</v>
      </c>
      <c r="F90" s="4" t="s">
        <v>342</v>
      </c>
      <c r="G90" t="s">
        <v>346</v>
      </c>
      <c r="H90" t="s">
        <v>347</v>
      </c>
      <c r="I90" t="s">
        <v>348</v>
      </c>
      <c r="J90">
        <v>0.95</v>
      </c>
      <c r="L90">
        <v>0</v>
      </c>
      <c r="M90">
        <v>0</v>
      </c>
      <c r="N90">
        <v>0</v>
      </c>
      <c r="O90" t="b">
        <v>1</v>
      </c>
      <c r="P90" t="s">
        <v>64</v>
      </c>
      <c r="Q90" t="s">
        <v>366</v>
      </c>
      <c r="R90" s="2">
        <v>30</v>
      </c>
      <c r="S90" t="str">
        <f>VLOOKUP(main_001_90runs__2[[#This Row],[prompt]],tasks!B:E,2,FALSE)</f>
        <v>Coding</v>
      </c>
      <c r="T90" t="str">
        <f>VLOOKUP(main_001_90runs__2[[#This Row],[prompt]],tasks!B:E,3,FALSE)</f>
        <v>hard</v>
      </c>
      <c r="U90" t="str">
        <f>VLOOKUP(main_001_90runs__2[[#This Row],[prompt]],tasks!B:E,4,FALSE)</f>
        <v>Workflow design</v>
      </c>
    </row>
    <row r="91" spans="1:21" hidden="1" x14ac:dyDescent="0.25">
      <c r="A91">
        <v>1780641179538</v>
      </c>
      <c r="B91" t="s">
        <v>55</v>
      </c>
      <c r="C91">
        <v>1</v>
      </c>
      <c r="D91" t="s">
        <v>29</v>
      </c>
      <c r="E91" s="1">
        <v>46178.397911354165</v>
      </c>
      <c r="F91" s="4" t="s">
        <v>342</v>
      </c>
      <c r="G91" t="s">
        <v>396</v>
      </c>
      <c r="H91" t="s">
        <v>349</v>
      </c>
      <c r="I91" t="s">
        <v>397</v>
      </c>
      <c r="J91">
        <v>0.95</v>
      </c>
      <c r="K91">
        <v>0.85</v>
      </c>
      <c r="L91">
        <v>0</v>
      </c>
      <c r="M91">
        <v>0</v>
      </c>
      <c r="N91">
        <v>0</v>
      </c>
      <c r="O91" t="b">
        <v>1</v>
      </c>
      <c r="P91" t="s">
        <v>68</v>
      </c>
      <c r="Q91" t="s">
        <v>34</v>
      </c>
      <c r="R91" s="2">
        <v>30</v>
      </c>
      <c r="S91" t="str">
        <f>VLOOKUP(main_001_90runs__2[[#This Row],[prompt]],tasks!B:E,2,FALSE)</f>
        <v>Coding</v>
      </c>
      <c r="T91" t="str">
        <f>VLOOKUP(main_001_90runs__2[[#This Row],[prompt]],tasks!B:E,3,FALSE)</f>
        <v>hard</v>
      </c>
      <c r="U91" t="str">
        <f>VLOOKUP(main_001_90runs__2[[#This Row],[prompt]],tasks!B:E,4,FALSE)</f>
        <v>Workflow design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20F3-4F6C-43D3-8732-A145F94E6EBF}">
  <dimension ref="C6:I61"/>
  <sheetViews>
    <sheetView topLeftCell="B53" workbookViewId="0">
      <selection activeCell="G57" sqref="G57:G60"/>
    </sheetView>
  </sheetViews>
  <sheetFormatPr defaultRowHeight="15" x14ac:dyDescent="0.25"/>
  <cols>
    <col min="3" max="3" width="23.7109375" bestFit="1" customWidth="1"/>
    <col min="4" max="4" width="20.140625" bestFit="1" customWidth="1"/>
    <col min="5" max="7" width="19.28515625" bestFit="1" customWidth="1"/>
    <col min="8" max="8" width="22.5703125" customWidth="1"/>
    <col min="9" max="9" width="21.5703125" customWidth="1"/>
  </cols>
  <sheetData>
    <row r="6" spans="3:5" x14ac:dyDescent="0.25">
      <c r="C6" s="6" t="s">
        <v>399</v>
      </c>
      <c r="D6" t="s">
        <v>403</v>
      </c>
      <c r="E6" t="s">
        <v>408</v>
      </c>
    </row>
    <row r="7" spans="3:5" x14ac:dyDescent="0.25">
      <c r="C7" s="7" t="s">
        <v>18</v>
      </c>
    </row>
    <row r="8" spans="3:5" x14ac:dyDescent="0.25">
      <c r="C8" s="7" t="s">
        <v>24</v>
      </c>
    </row>
    <row r="9" spans="3:5" x14ac:dyDescent="0.25">
      <c r="C9" s="7" t="s">
        <v>29</v>
      </c>
      <c r="D9" s="11">
        <v>0.92699999999999994</v>
      </c>
      <c r="E9" s="11">
        <v>0.10511569980182504</v>
      </c>
    </row>
    <row r="10" spans="3:5" x14ac:dyDescent="0.25">
      <c r="C10" s="7" t="s">
        <v>400</v>
      </c>
      <c r="D10" s="11">
        <v>0.92699999999999994</v>
      </c>
      <c r="E10" s="11">
        <v>0.10511569980182504</v>
      </c>
    </row>
    <row r="21" spans="3:8" x14ac:dyDescent="0.25">
      <c r="C21" t="s">
        <v>409</v>
      </c>
    </row>
    <row r="23" spans="3:8" x14ac:dyDescent="0.25">
      <c r="C23" s="6" t="s">
        <v>399</v>
      </c>
      <c r="D23" t="s">
        <v>404</v>
      </c>
      <c r="E23" t="s">
        <v>401</v>
      </c>
      <c r="F23" t="s">
        <v>402</v>
      </c>
      <c r="G23" t="s">
        <v>405</v>
      </c>
      <c r="H23" t="s">
        <v>406</v>
      </c>
    </row>
    <row r="24" spans="3:8" x14ac:dyDescent="0.25">
      <c r="C24" s="7" t="s">
        <v>18</v>
      </c>
      <c r="D24" s="11">
        <v>0.94999999999999984</v>
      </c>
      <c r="E24" s="11">
        <v>0</v>
      </c>
      <c r="F24" s="11">
        <v>1</v>
      </c>
      <c r="G24" s="11">
        <v>0.18099342720014833</v>
      </c>
      <c r="H24">
        <v>30</v>
      </c>
    </row>
    <row r="25" spans="3:8" x14ac:dyDescent="0.25">
      <c r="C25" s="7" t="s">
        <v>24</v>
      </c>
      <c r="D25" s="11">
        <v>0.97933333333333317</v>
      </c>
      <c r="E25" s="11">
        <v>0.95</v>
      </c>
      <c r="F25" s="11">
        <v>1</v>
      </c>
      <c r="G25" s="11">
        <v>2.4625937172205889E-2</v>
      </c>
      <c r="H25">
        <v>30</v>
      </c>
    </row>
    <row r="26" spans="3:8" x14ac:dyDescent="0.25">
      <c r="C26" s="7" t="s">
        <v>29</v>
      </c>
      <c r="D26" s="11">
        <v>0.98566666666666658</v>
      </c>
      <c r="E26" s="11">
        <v>0.9</v>
      </c>
      <c r="F26" s="11">
        <v>1</v>
      </c>
      <c r="G26" s="11">
        <v>2.4869775775559051E-2</v>
      </c>
      <c r="H26">
        <v>30</v>
      </c>
    </row>
    <row r="27" spans="3:8" x14ac:dyDescent="0.25">
      <c r="C27" s="7" t="s">
        <v>400</v>
      </c>
      <c r="D27" s="11">
        <v>0.97166666666666712</v>
      </c>
      <c r="E27" s="11">
        <v>0</v>
      </c>
      <c r="F27" s="11">
        <v>1</v>
      </c>
      <c r="G27" s="11">
        <v>0.10638334329365866</v>
      </c>
      <c r="H27">
        <v>90</v>
      </c>
    </row>
    <row r="57" spans="3:9" x14ac:dyDescent="0.25">
      <c r="C57" s="6" t="s">
        <v>399</v>
      </c>
      <c r="D57" t="s">
        <v>404</v>
      </c>
      <c r="E57" t="s">
        <v>405</v>
      </c>
      <c r="G57" t="s">
        <v>435</v>
      </c>
      <c r="H57" s="17" t="s">
        <v>404</v>
      </c>
      <c r="I57" s="18" t="s">
        <v>405</v>
      </c>
    </row>
    <row r="58" spans="3:9" x14ac:dyDescent="0.25">
      <c r="C58" s="7" t="s">
        <v>18</v>
      </c>
      <c r="D58" s="11">
        <v>0.94999999999999984</v>
      </c>
      <c r="E58" s="11">
        <v>0.18099342720014833</v>
      </c>
      <c r="G58" s="19" t="s">
        <v>18</v>
      </c>
      <c r="H58" s="20">
        <v>0.94999999999999984</v>
      </c>
      <c r="I58" s="21">
        <v>0.18099342720014833</v>
      </c>
    </row>
    <row r="59" spans="3:9" x14ac:dyDescent="0.25">
      <c r="C59" s="7" t="s">
        <v>24</v>
      </c>
      <c r="D59" s="11">
        <v>0.97933333333333317</v>
      </c>
      <c r="E59" s="11">
        <v>2.4625937172205889E-2</v>
      </c>
      <c r="G59" s="19" t="s">
        <v>24</v>
      </c>
      <c r="H59" s="20">
        <v>0.97933333333333317</v>
      </c>
      <c r="I59" s="21">
        <v>2.4625937172205889E-2</v>
      </c>
    </row>
    <row r="60" spans="3:9" x14ac:dyDescent="0.25">
      <c r="C60" s="7" t="s">
        <v>29</v>
      </c>
      <c r="D60" s="11">
        <v>0.98566666666666658</v>
      </c>
      <c r="E60" s="11">
        <v>2.4869775775559051E-2</v>
      </c>
      <c r="G60" s="22" t="s">
        <v>29</v>
      </c>
      <c r="H60" s="23">
        <v>0.98566666666666658</v>
      </c>
      <c r="I60" s="24">
        <v>2.4869775775559051E-2</v>
      </c>
    </row>
    <row r="61" spans="3:9" x14ac:dyDescent="0.25">
      <c r="C61" s="7" t="s">
        <v>400</v>
      </c>
      <c r="D61" s="11">
        <v>0.97166666666666712</v>
      </c>
      <c r="E61" s="11">
        <v>0.10638334329365866</v>
      </c>
    </row>
  </sheetData>
  <pageMargins left="0.7" right="0.7" top="0.75" bottom="0.75" header="0.3" footer="0.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0E64-2552-4C8C-84C7-84D5F8EB1E32}">
  <dimension ref="D1:P28"/>
  <sheetViews>
    <sheetView topLeftCell="B13" zoomScale="85" zoomScaleNormal="85" workbookViewId="0">
      <selection activeCell="M23" sqref="M23:P26"/>
    </sheetView>
  </sheetViews>
  <sheetFormatPr defaultRowHeight="15" x14ac:dyDescent="0.25"/>
  <cols>
    <col min="4" max="4" width="23.7109375" bestFit="1" customWidth="1"/>
    <col min="5" max="5" width="22.7109375" customWidth="1"/>
    <col min="6" max="8" width="12" bestFit="1" customWidth="1"/>
    <col min="13" max="13" width="13.28515625" customWidth="1"/>
    <col min="14" max="14" width="9.42578125" customWidth="1"/>
    <col min="15" max="15" width="13.28515625" customWidth="1"/>
    <col min="16" max="16" width="12.42578125" customWidth="1"/>
  </cols>
  <sheetData>
    <row r="1" spans="4:5" x14ac:dyDescent="0.25">
      <c r="D1" t="s">
        <v>412</v>
      </c>
    </row>
    <row r="3" spans="4:5" x14ac:dyDescent="0.25">
      <c r="D3" s="6" t="s">
        <v>3</v>
      </c>
      <c r="E3" t="s">
        <v>407</v>
      </c>
    </row>
    <row r="5" spans="4:5" x14ac:dyDescent="0.25">
      <c r="D5" s="6" t="s">
        <v>399</v>
      </c>
      <c r="E5" t="s">
        <v>404</v>
      </c>
    </row>
    <row r="6" spans="4:5" x14ac:dyDescent="0.25">
      <c r="D6" s="7" t="s">
        <v>378</v>
      </c>
      <c r="E6" s="11">
        <v>0.99285714285714288</v>
      </c>
    </row>
    <row r="7" spans="4:5" x14ac:dyDescent="0.25">
      <c r="D7" s="7" t="s">
        <v>354</v>
      </c>
      <c r="E7" s="11">
        <v>0.98266666666666647</v>
      </c>
    </row>
    <row r="8" spans="4:5" x14ac:dyDescent="0.25">
      <c r="D8" s="7" t="s">
        <v>367</v>
      </c>
      <c r="E8" s="11">
        <v>0.94233333333333336</v>
      </c>
    </row>
    <row r="9" spans="4:5" x14ac:dyDescent="0.25">
      <c r="D9" s="7" t="s">
        <v>400</v>
      </c>
      <c r="E9" s="11">
        <v>0.97215909090909169</v>
      </c>
    </row>
    <row r="21" spans="4:16" x14ac:dyDescent="0.25">
      <c r="D21" t="s">
        <v>411</v>
      </c>
    </row>
    <row r="23" spans="4:16" x14ac:dyDescent="0.25">
      <c r="D23" s="6" t="s">
        <v>404</v>
      </c>
      <c r="E23" s="6" t="s">
        <v>410</v>
      </c>
      <c r="M23" s="29" t="s">
        <v>399</v>
      </c>
      <c r="N23" s="30" t="s">
        <v>378</v>
      </c>
      <c r="O23" s="30" t="s">
        <v>354</v>
      </c>
      <c r="P23" s="31" t="s">
        <v>367</v>
      </c>
    </row>
    <row r="24" spans="4:16" x14ac:dyDescent="0.25">
      <c r="D24" s="6" t="s">
        <v>399</v>
      </c>
      <c r="E24" t="s">
        <v>378</v>
      </c>
      <c r="F24" t="s">
        <v>354</v>
      </c>
      <c r="G24" t="s">
        <v>367</v>
      </c>
      <c r="H24" t="s">
        <v>400</v>
      </c>
      <c r="M24" s="19" t="s">
        <v>18</v>
      </c>
      <c r="N24" s="25">
        <v>0.99499999999999988</v>
      </c>
      <c r="O24" s="25">
        <v>0.97499999999999998</v>
      </c>
      <c r="P24" s="26">
        <v>0.87999999999999989</v>
      </c>
    </row>
    <row r="25" spans="4:16" x14ac:dyDescent="0.25">
      <c r="D25" s="7" t="s">
        <v>18</v>
      </c>
      <c r="E25" s="11">
        <v>0.99499999999999988</v>
      </c>
      <c r="F25" s="11">
        <v>0.97499999999999998</v>
      </c>
      <c r="G25" s="11">
        <v>0.87999999999999989</v>
      </c>
      <c r="H25" s="11">
        <v>0.94999999999999973</v>
      </c>
      <c r="M25" s="19" t="s">
        <v>24</v>
      </c>
      <c r="N25" s="25">
        <v>0.99444444444444435</v>
      </c>
      <c r="O25" s="25">
        <v>0.97999999999999987</v>
      </c>
      <c r="P25" s="26">
        <v>0.96799999999999997</v>
      </c>
    </row>
    <row r="26" spans="4:16" x14ac:dyDescent="0.25">
      <c r="D26" s="7" t="s">
        <v>24</v>
      </c>
      <c r="E26" s="11">
        <v>0.99444444444444435</v>
      </c>
      <c r="F26" s="11">
        <v>0.97999999999999987</v>
      </c>
      <c r="G26" s="11">
        <v>0.96799999999999997</v>
      </c>
      <c r="H26" s="11">
        <v>0.98034482758620667</v>
      </c>
      <c r="M26" s="22" t="s">
        <v>29</v>
      </c>
      <c r="N26" s="27">
        <v>0.98888888888888893</v>
      </c>
      <c r="O26" s="27">
        <v>0.99299999999999999</v>
      </c>
      <c r="P26" s="28">
        <v>0.97899999999999987</v>
      </c>
    </row>
    <row r="27" spans="4:16" x14ac:dyDescent="0.25">
      <c r="D27" s="7" t="s">
        <v>29</v>
      </c>
      <c r="E27" s="11">
        <v>0.98888888888888893</v>
      </c>
      <c r="F27" s="11">
        <v>0.99299999999999999</v>
      </c>
      <c r="G27" s="11">
        <v>0.97899999999999987</v>
      </c>
      <c r="H27" s="11">
        <v>0.98689655172413793</v>
      </c>
    </row>
    <row r="28" spans="4:16" x14ac:dyDescent="0.25">
      <c r="D28" s="7" t="s">
        <v>400</v>
      </c>
      <c r="E28" s="11">
        <v>0.99285714285714277</v>
      </c>
      <c r="F28" s="11">
        <v>0.98266666666666658</v>
      </c>
      <c r="G28" s="11">
        <v>0.94233333333333325</v>
      </c>
      <c r="H28" s="11">
        <v>0.9721590909090907</v>
      </c>
    </row>
  </sheetData>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3820-6423-42EB-9B04-266382C691EF}">
  <dimension ref="C1:N21"/>
  <sheetViews>
    <sheetView topLeftCell="A9" workbookViewId="0">
      <selection activeCell="K17" sqref="K17:N20"/>
    </sheetView>
  </sheetViews>
  <sheetFormatPr defaultRowHeight="15" x14ac:dyDescent="0.25"/>
  <cols>
    <col min="3" max="3" width="23.7109375" bestFit="1" customWidth="1"/>
    <col min="4" max="4" width="15.5703125" bestFit="1" customWidth="1"/>
    <col min="5" max="7" width="12" bestFit="1" customWidth="1"/>
    <col min="11" max="11" width="12.7109375" customWidth="1"/>
    <col min="14" max="14" width="10.28515625" customWidth="1"/>
  </cols>
  <sheetData>
    <row r="1" spans="3:4" x14ac:dyDescent="0.25">
      <c r="C1" t="s">
        <v>420</v>
      </c>
    </row>
    <row r="2" spans="3:4" x14ac:dyDescent="0.25">
      <c r="C2" s="6" t="s">
        <v>3</v>
      </c>
      <c r="D2" t="s">
        <v>407</v>
      </c>
    </row>
    <row r="4" spans="3:4" x14ac:dyDescent="0.25">
      <c r="C4" s="6" t="s">
        <v>399</v>
      </c>
      <c r="D4" t="s">
        <v>404</v>
      </c>
    </row>
    <row r="5" spans="3:4" x14ac:dyDescent="0.25">
      <c r="C5" s="7" t="s">
        <v>355</v>
      </c>
      <c r="D5" s="11">
        <v>0.98476190476190462</v>
      </c>
    </row>
    <row r="6" spans="3:4" x14ac:dyDescent="0.25">
      <c r="C6" s="7" t="s">
        <v>362</v>
      </c>
      <c r="D6" s="11">
        <v>0.9526470588235294</v>
      </c>
    </row>
    <row r="7" spans="3:4" x14ac:dyDescent="0.25">
      <c r="C7" s="7" t="s">
        <v>359</v>
      </c>
      <c r="D7" s="11">
        <v>0.98424242424242414</v>
      </c>
    </row>
    <row r="8" spans="3:4" x14ac:dyDescent="0.25">
      <c r="C8" s="7" t="s">
        <v>400</v>
      </c>
      <c r="D8" s="11">
        <v>0.97215909090909125</v>
      </c>
    </row>
    <row r="14" spans="3:4" x14ac:dyDescent="0.25">
      <c r="C14" t="s">
        <v>419</v>
      </c>
    </row>
    <row r="16" spans="3:4" x14ac:dyDescent="0.25">
      <c r="C16" s="6" t="s">
        <v>404</v>
      </c>
      <c r="D16" s="6" t="s">
        <v>410</v>
      </c>
    </row>
    <row r="17" spans="3:14" x14ac:dyDescent="0.25">
      <c r="C17" s="6" t="s">
        <v>399</v>
      </c>
      <c r="D17" t="s">
        <v>355</v>
      </c>
      <c r="E17" t="s">
        <v>362</v>
      </c>
      <c r="F17" t="s">
        <v>359</v>
      </c>
      <c r="G17" t="s">
        <v>400</v>
      </c>
      <c r="K17" s="29" t="s">
        <v>399</v>
      </c>
      <c r="L17" s="30" t="s">
        <v>355</v>
      </c>
      <c r="M17" s="30" t="s">
        <v>362</v>
      </c>
      <c r="N17" s="31" t="s">
        <v>359</v>
      </c>
    </row>
    <row r="18" spans="3:14" x14ac:dyDescent="0.25">
      <c r="C18" s="7" t="s">
        <v>18</v>
      </c>
      <c r="D18" s="12">
        <v>0.98571428571428577</v>
      </c>
      <c r="E18" s="12">
        <v>0.89583333333333337</v>
      </c>
      <c r="F18" s="12">
        <v>0.98636363636363644</v>
      </c>
      <c r="G18" s="12">
        <v>0.94999999999999984</v>
      </c>
      <c r="K18" s="19" t="s">
        <v>18</v>
      </c>
      <c r="L18" s="32">
        <v>0.98571428571428577</v>
      </c>
      <c r="M18" s="32">
        <v>0.89583333333333337</v>
      </c>
      <c r="N18" s="33">
        <v>0.98636363636363644</v>
      </c>
    </row>
    <row r="19" spans="3:14" x14ac:dyDescent="0.25">
      <c r="C19" s="7" t="s">
        <v>24</v>
      </c>
      <c r="D19" s="12">
        <v>0.97857142857142865</v>
      </c>
      <c r="E19" s="12">
        <v>0.98000000000000009</v>
      </c>
      <c r="F19" s="12">
        <v>0.98181818181818192</v>
      </c>
      <c r="G19" s="12">
        <v>0.98034482758620678</v>
      </c>
      <c r="K19" s="19" t="s">
        <v>24</v>
      </c>
      <c r="L19" s="32">
        <v>0.97857142857142865</v>
      </c>
      <c r="M19" s="32">
        <v>0.98000000000000009</v>
      </c>
      <c r="N19" s="33">
        <v>0.98181818181818192</v>
      </c>
    </row>
    <row r="20" spans="3:14" x14ac:dyDescent="0.25">
      <c r="C20" s="7" t="s">
        <v>29</v>
      </c>
      <c r="D20" s="12">
        <v>0.99</v>
      </c>
      <c r="E20" s="12">
        <v>0.98727272727272719</v>
      </c>
      <c r="F20" s="12">
        <v>0.9845454545454545</v>
      </c>
      <c r="G20" s="12">
        <v>0.98689655172413782</v>
      </c>
      <c r="K20" s="22" t="s">
        <v>29</v>
      </c>
      <c r="L20" s="34">
        <v>0.99</v>
      </c>
      <c r="M20" s="34">
        <v>0.98727272727272719</v>
      </c>
      <c r="N20" s="35">
        <v>0.9845454545454545</v>
      </c>
    </row>
    <row r="21" spans="3:14" x14ac:dyDescent="0.25">
      <c r="C21" s="7" t="s">
        <v>400</v>
      </c>
      <c r="D21" s="12">
        <v>0.98476190476190473</v>
      </c>
      <c r="E21" s="12">
        <v>0.9526470588235294</v>
      </c>
      <c r="F21" s="12">
        <v>0.98424242424242414</v>
      </c>
      <c r="G21" s="12">
        <v>0.9721590909090907</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E5EA-0848-4F15-B029-8A8B6256BF12}">
  <dimension ref="C4:J17"/>
  <sheetViews>
    <sheetView tabSelected="1" workbookViewId="0">
      <selection activeCell="H14" sqref="H14:J17"/>
    </sheetView>
  </sheetViews>
  <sheetFormatPr defaultRowHeight="15" x14ac:dyDescent="0.25"/>
  <cols>
    <col min="3" max="3" width="9.7109375" bestFit="1" customWidth="1"/>
    <col min="4" max="4" width="23.5703125" bestFit="1" customWidth="1"/>
    <col min="5" max="5" width="24.7109375" bestFit="1" customWidth="1"/>
    <col min="6" max="6" width="23.7109375" bestFit="1" customWidth="1"/>
    <col min="7" max="7" width="23.5703125" bestFit="1" customWidth="1"/>
    <col min="8" max="8" width="24.7109375" bestFit="1" customWidth="1"/>
    <col min="9" max="9" width="26" customWidth="1"/>
    <col min="10" max="10" width="27.140625" customWidth="1"/>
  </cols>
  <sheetData>
    <row r="4" spans="3:10" x14ac:dyDescent="0.25">
      <c r="C4" s="9" t="s">
        <v>413</v>
      </c>
      <c r="D4" s="2" t="s">
        <v>18</v>
      </c>
      <c r="E4" s="2" t="s">
        <v>24</v>
      </c>
      <c r="F4" s="2" t="s">
        <v>29</v>
      </c>
      <c r="G4" s="2" t="s">
        <v>416</v>
      </c>
      <c r="H4" s="2" t="s">
        <v>417</v>
      </c>
    </row>
    <row r="5" spans="3:10" x14ac:dyDescent="0.25">
      <c r="C5" s="10" t="s">
        <v>414</v>
      </c>
      <c r="D5" s="13">
        <v>0.95</v>
      </c>
      <c r="E5" s="13">
        <v>0.98</v>
      </c>
      <c r="F5" s="13">
        <v>0.98699999999999999</v>
      </c>
      <c r="G5" s="14">
        <f>(E5-D5)/D5</f>
        <v>3.1578947368421081E-2</v>
      </c>
      <c r="H5" s="14">
        <f>(F5-D5)/D5</f>
        <v>3.8947368421052668E-2</v>
      </c>
    </row>
    <row r="6" spans="3:10" ht="30" x14ac:dyDescent="0.25">
      <c r="C6" s="10" t="s">
        <v>367</v>
      </c>
      <c r="D6" s="13">
        <v>0.88</v>
      </c>
      <c r="E6" s="13">
        <v>0.96799999999999997</v>
      </c>
      <c r="F6" s="13">
        <v>0.97899999999999998</v>
      </c>
      <c r="G6" s="14">
        <f t="shared" ref="G6:G7" si="0">(E6-D6)/D6</f>
        <v>9.9999999999999964E-2</v>
      </c>
      <c r="H6" s="14">
        <f t="shared" ref="H6:H7" si="1">(F6-D6)/D6</f>
        <v>0.11249999999999998</v>
      </c>
    </row>
    <row r="7" spans="3:10" ht="30" x14ac:dyDescent="0.25">
      <c r="C7" s="10" t="s">
        <v>415</v>
      </c>
      <c r="D7" s="13">
        <v>0.89600000000000002</v>
      </c>
      <c r="E7" s="13">
        <v>0.98</v>
      </c>
      <c r="F7" s="13">
        <v>0.98699999999999999</v>
      </c>
      <c r="G7" s="14">
        <f t="shared" si="0"/>
        <v>9.3749999999999958E-2</v>
      </c>
      <c r="H7" s="14">
        <f t="shared" si="1"/>
        <v>0.10156249999999996</v>
      </c>
    </row>
    <row r="12" spans="3:10" x14ac:dyDescent="0.25">
      <c r="C12" t="s">
        <v>418</v>
      </c>
    </row>
    <row r="13" spans="3:10" x14ac:dyDescent="0.25">
      <c r="C13" s="9" t="s">
        <v>413</v>
      </c>
      <c r="D13" s="2" t="s">
        <v>416</v>
      </c>
      <c r="E13" s="2" t="s">
        <v>417</v>
      </c>
    </row>
    <row r="14" spans="3:10" x14ac:dyDescent="0.25">
      <c r="C14" s="10" t="s">
        <v>414</v>
      </c>
      <c r="D14" s="15">
        <v>3.1578947368421081E-2</v>
      </c>
      <c r="E14" s="15">
        <v>3.8947368421052668E-2</v>
      </c>
      <c r="H14" s="36" t="s">
        <v>413</v>
      </c>
      <c r="I14" s="37" t="s">
        <v>436</v>
      </c>
      <c r="J14" s="38" t="s">
        <v>437</v>
      </c>
    </row>
    <row r="15" spans="3:10" ht="30" x14ac:dyDescent="0.25">
      <c r="C15" s="10" t="s">
        <v>367</v>
      </c>
      <c r="D15" s="15">
        <v>9.9999999999999964E-2</v>
      </c>
      <c r="E15" s="15">
        <v>0.11249999999999998</v>
      </c>
      <c r="H15" s="39" t="s">
        <v>414</v>
      </c>
      <c r="I15" s="40">
        <v>3.1578947368421081E-2</v>
      </c>
      <c r="J15" s="41">
        <v>3.8947368421052668E-2</v>
      </c>
    </row>
    <row r="16" spans="3:10" ht="30" x14ac:dyDescent="0.25">
      <c r="C16" s="10" t="s">
        <v>415</v>
      </c>
      <c r="D16" s="15">
        <v>9.3749999999999958E-2</v>
      </c>
      <c r="E16" s="15">
        <v>0.10156249999999996</v>
      </c>
      <c r="H16" s="39" t="s">
        <v>367</v>
      </c>
      <c r="I16" s="40">
        <v>9.9999999999999964E-2</v>
      </c>
      <c r="J16" s="41">
        <v>0.11249999999999998</v>
      </c>
    </row>
    <row r="17" spans="8:10" x14ac:dyDescent="0.25">
      <c r="H17" s="42" t="s">
        <v>415</v>
      </c>
      <c r="I17" s="43">
        <v>9.3749999999999958E-2</v>
      </c>
      <c r="J17" s="44">
        <v>0.10156249999999996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2460-9C81-4E69-BBD9-6862E72ABD3C}">
  <dimension ref="C5:D13"/>
  <sheetViews>
    <sheetView workbookViewId="0">
      <selection activeCell="C8" sqref="C8"/>
    </sheetView>
  </sheetViews>
  <sheetFormatPr defaultRowHeight="15" x14ac:dyDescent="0.25"/>
  <cols>
    <col min="3" max="3" width="25.7109375" customWidth="1"/>
    <col min="4" max="4" width="23.140625" bestFit="1" customWidth="1"/>
  </cols>
  <sheetData>
    <row r="5" spans="3:4" x14ac:dyDescent="0.25">
      <c r="C5" s="7" t="s">
        <v>421</v>
      </c>
      <c r="D5" s="7" t="s">
        <v>422</v>
      </c>
    </row>
    <row r="6" spans="3:4" x14ac:dyDescent="0.25">
      <c r="C6" s="7" t="s">
        <v>423</v>
      </c>
      <c r="D6" s="7" t="s">
        <v>424</v>
      </c>
    </row>
    <row r="7" spans="3:4" x14ac:dyDescent="0.25">
      <c r="C7" s="7" t="s">
        <v>425</v>
      </c>
      <c r="D7" s="7">
        <v>0.98699999999999999</v>
      </c>
    </row>
    <row r="8" spans="3:4" x14ac:dyDescent="0.25">
      <c r="C8" s="7" t="s">
        <v>426</v>
      </c>
      <c r="D8" s="7" t="s">
        <v>427</v>
      </c>
    </row>
    <row r="9" spans="3:4" x14ac:dyDescent="0.25">
      <c r="C9" s="7" t="s">
        <v>428</v>
      </c>
      <c r="D9" s="7" t="s">
        <v>429</v>
      </c>
    </row>
    <row r="10" spans="3:4" x14ac:dyDescent="0.25">
      <c r="C10" s="7" t="s">
        <v>430</v>
      </c>
      <c r="D10" s="7" t="s">
        <v>431</v>
      </c>
    </row>
    <row r="11" spans="3:4" x14ac:dyDescent="0.25">
      <c r="C11" s="7" t="s">
        <v>432</v>
      </c>
      <c r="D11" s="16">
        <v>0.1016</v>
      </c>
    </row>
    <row r="12" spans="3:4" x14ac:dyDescent="0.25">
      <c r="C12" s="7" t="s">
        <v>433</v>
      </c>
      <c r="D12" s="7">
        <v>30</v>
      </c>
    </row>
    <row r="13" spans="3:4" x14ac:dyDescent="0.25">
      <c r="C13" s="7" t="s">
        <v>434</v>
      </c>
      <c r="D13" s="7">
        <v>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FA29-B426-4FCB-9BDA-E2136C3EC938}">
  <dimension ref="A1:Q100"/>
  <sheetViews>
    <sheetView workbookViewId="0">
      <selection activeCell="A3" sqref="A3"/>
    </sheetView>
  </sheetViews>
  <sheetFormatPr defaultRowHeight="15" x14ac:dyDescent="0.25"/>
  <cols>
    <col min="1" max="1" width="17.42578125" customWidth="1"/>
    <col min="2" max="2" width="16.5703125" bestFit="1" customWidth="1"/>
    <col min="3" max="3" width="9.5703125" bestFit="1" customWidth="1"/>
    <col min="4" max="4" width="26.28515625" bestFit="1" customWidth="1"/>
    <col min="5" max="5" width="14.140625" bestFit="1" customWidth="1"/>
    <col min="6" max="6" width="80.140625" bestFit="1" customWidth="1"/>
    <col min="7" max="9" width="81.140625" bestFit="1" customWidth="1"/>
    <col min="10" max="10" width="13.140625" bestFit="1" customWidth="1"/>
    <col min="11" max="11" width="15.140625" bestFit="1" customWidth="1"/>
    <col min="12" max="12" width="8" bestFit="1" customWidth="1"/>
    <col min="13" max="13" width="14.7109375" bestFit="1" customWidth="1"/>
    <col min="14" max="14" width="17.42578125" bestFit="1" customWidth="1"/>
    <col min="15" max="15" width="9.85546875" bestFit="1" customWidth="1"/>
    <col min="16" max="16" width="36" bestFit="1" customWidth="1"/>
    <col min="17" max="17" width="19"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1780564163884</v>
      </c>
      <c r="B2" t="s">
        <v>17</v>
      </c>
      <c r="C2">
        <v>1</v>
      </c>
      <c r="D2" t="s">
        <v>18</v>
      </c>
      <c r="E2" s="1">
        <v>46177.506526446756</v>
      </c>
      <c r="F2" t="s">
        <v>19</v>
      </c>
      <c r="G2" t="s">
        <v>20</v>
      </c>
      <c r="H2" t="s">
        <v>21</v>
      </c>
      <c r="I2" t="s">
        <v>22</v>
      </c>
      <c r="J2">
        <v>1</v>
      </c>
      <c r="L2">
        <v>0</v>
      </c>
      <c r="M2">
        <v>0</v>
      </c>
      <c r="N2">
        <v>0</v>
      </c>
      <c r="O2" t="b">
        <v>1</v>
      </c>
      <c r="P2" t="s">
        <v>23</v>
      </c>
      <c r="Q2" t="s">
        <v>366</v>
      </c>
    </row>
    <row r="3" spans="1:17" x14ac:dyDescent="0.25">
      <c r="A3">
        <v>1780564209381</v>
      </c>
      <c r="B3" t="s">
        <v>17</v>
      </c>
      <c r="C3">
        <v>1</v>
      </c>
      <c r="D3" t="s">
        <v>24</v>
      </c>
      <c r="E3" s="1">
        <v>46177.507053020832</v>
      </c>
      <c r="F3" t="s">
        <v>19</v>
      </c>
      <c r="G3" t="s">
        <v>25</v>
      </c>
      <c r="H3" t="s">
        <v>26</v>
      </c>
      <c r="I3" t="s">
        <v>27</v>
      </c>
      <c r="J3">
        <v>1</v>
      </c>
      <c r="L3">
        <v>0</v>
      </c>
      <c r="M3">
        <v>0</v>
      </c>
      <c r="N3">
        <v>0</v>
      </c>
      <c r="O3" t="b">
        <v>1</v>
      </c>
      <c r="P3" t="s">
        <v>28</v>
      </c>
      <c r="Q3" t="s">
        <v>366</v>
      </c>
    </row>
    <row r="4" spans="1:17" x14ac:dyDescent="0.25">
      <c r="A4">
        <v>1780564226884</v>
      </c>
      <c r="B4" t="s">
        <v>17</v>
      </c>
      <c r="C4">
        <v>1</v>
      </c>
      <c r="D4" t="s">
        <v>29</v>
      </c>
      <c r="E4" s="1">
        <v>46177.507255613426</v>
      </c>
      <c r="F4" t="s">
        <v>19</v>
      </c>
      <c r="G4" t="s">
        <v>30</v>
      </c>
      <c r="H4" t="s">
        <v>31</v>
      </c>
      <c r="I4" t="s">
        <v>32</v>
      </c>
      <c r="J4">
        <v>1</v>
      </c>
      <c r="K4">
        <v>1</v>
      </c>
      <c r="L4">
        <v>0</v>
      </c>
      <c r="M4">
        <v>0</v>
      </c>
      <c r="N4">
        <v>0</v>
      </c>
      <c r="O4" t="b">
        <v>1</v>
      </c>
      <c r="P4" t="s">
        <v>33</v>
      </c>
      <c r="Q4" t="s">
        <v>34</v>
      </c>
    </row>
    <row r="5" spans="1:17" x14ac:dyDescent="0.25">
      <c r="A5">
        <v>1780564271744</v>
      </c>
      <c r="B5" t="s">
        <v>17</v>
      </c>
      <c r="C5">
        <v>1</v>
      </c>
      <c r="D5" t="s">
        <v>18</v>
      </c>
      <c r="E5" s="1">
        <v>46177.507774826387</v>
      </c>
      <c r="F5" t="s">
        <v>35</v>
      </c>
      <c r="G5" t="s">
        <v>36</v>
      </c>
      <c r="H5" t="s">
        <v>37</v>
      </c>
      <c r="I5" t="s">
        <v>38</v>
      </c>
      <c r="J5">
        <v>0.95</v>
      </c>
      <c r="L5">
        <v>0</v>
      </c>
      <c r="M5">
        <v>0</v>
      </c>
      <c r="N5">
        <v>0</v>
      </c>
      <c r="O5" t="b">
        <v>1</v>
      </c>
      <c r="P5" t="s">
        <v>23</v>
      </c>
      <c r="Q5" t="s">
        <v>366</v>
      </c>
    </row>
    <row r="6" spans="1:17" x14ac:dyDescent="0.25">
      <c r="A6">
        <v>1780564325613</v>
      </c>
      <c r="B6" t="s">
        <v>17</v>
      </c>
      <c r="C6">
        <v>1</v>
      </c>
      <c r="D6" t="s">
        <v>24</v>
      </c>
      <c r="E6" s="1">
        <v>46177.508398298611</v>
      </c>
      <c r="F6" t="s">
        <v>35</v>
      </c>
      <c r="G6" t="s">
        <v>39</v>
      </c>
      <c r="H6" t="s">
        <v>40</v>
      </c>
      <c r="I6" t="s">
        <v>41</v>
      </c>
      <c r="J6">
        <v>1</v>
      </c>
      <c r="L6">
        <v>0</v>
      </c>
      <c r="M6">
        <v>0</v>
      </c>
      <c r="N6">
        <v>0</v>
      </c>
      <c r="O6" t="b">
        <v>1</v>
      </c>
      <c r="P6" t="s">
        <v>28</v>
      </c>
      <c r="Q6" t="s">
        <v>366</v>
      </c>
    </row>
    <row r="7" spans="1:17" x14ac:dyDescent="0.25">
      <c r="A7">
        <v>1780564342875</v>
      </c>
      <c r="B7" t="s">
        <v>17</v>
      </c>
      <c r="C7">
        <v>1</v>
      </c>
      <c r="D7" t="s">
        <v>29</v>
      </c>
      <c r="E7" s="1">
        <v>46177.50859809028</v>
      </c>
      <c r="F7" t="s">
        <v>35</v>
      </c>
      <c r="G7" t="s">
        <v>42</v>
      </c>
      <c r="H7" t="s">
        <v>43</v>
      </c>
      <c r="I7" t="s">
        <v>44</v>
      </c>
      <c r="J7">
        <v>0.95</v>
      </c>
      <c r="K7">
        <v>0.92</v>
      </c>
      <c r="L7">
        <v>0</v>
      </c>
      <c r="M7">
        <v>0</v>
      </c>
      <c r="N7">
        <v>0</v>
      </c>
      <c r="O7" t="b">
        <v>1</v>
      </c>
      <c r="P7" t="s">
        <v>33</v>
      </c>
      <c r="Q7" t="s">
        <v>34</v>
      </c>
    </row>
    <row r="8" spans="1:17" x14ac:dyDescent="0.25">
      <c r="A8">
        <v>1780564379837</v>
      </c>
      <c r="B8" t="s">
        <v>17</v>
      </c>
      <c r="C8">
        <v>1</v>
      </c>
      <c r="D8" t="s">
        <v>18</v>
      </c>
      <c r="E8" s="1">
        <v>46177.509025937499</v>
      </c>
      <c r="F8" t="s">
        <v>45</v>
      </c>
      <c r="G8" t="s">
        <v>46</v>
      </c>
      <c r="H8" t="s">
        <v>47</v>
      </c>
      <c r="I8" t="s">
        <v>48</v>
      </c>
      <c r="J8">
        <v>0.95</v>
      </c>
      <c r="L8">
        <v>0</v>
      </c>
      <c r="M8">
        <v>0</v>
      </c>
      <c r="N8">
        <v>0</v>
      </c>
      <c r="O8" t="b">
        <v>1</v>
      </c>
      <c r="P8" t="s">
        <v>23</v>
      </c>
      <c r="Q8" t="s">
        <v>366</v>
      </c>
    </row>
    <row r="9" spans="1:17" x14ac:dyDescent="0.25">
      <c r="A9">
        <v>1780564398865</v>
      </c>
      <c r="B9" t="s">
        <v>17</v>
      </c>
      <c r="C9">
        <v>1</v>
      </c>
      <c r="D9" t="s">
        <v>24</v>
      </c>
      <c r="E9" s="1">
        <v>46177.509246134257</v>
      </c>
      <c r="F9" t="s">
        <v>45</v>
      </c>
      <c r="G9" t="s">
        <v>49</v>
      </c>
      <c r="H9" t="s">
        <v>50</v>
      </c>
      <c r="I9" t="s">
        <v>51</v>
      </c>
      <c r="J9">
        <v>0.95</v>
      </c>
      <c r="L9">
        <v>0</v>
      </c>
      <c r="M9">
        <v>0</v>
      </c>
      <c r="N9">
        <v>0</v>
      </c>
      <c r="O9" t="b">
        <v>1</v>
      </c>
      <c r="P9" t="s">
        <v>28</v>
      </c>
      <c r="Q9" t="s">
        <v>366</v>
      </c>
    </row>
    <row r="10" spans="1:17" x14ac:dyDescent="0.25">
      <c r="A10">
        <v>1780564419517</v>
      </c>
      <c r="B10" t="s">
        <v>17</v>
      </c>
      <c r="C10">
        <v>1</v>
      </c>
      <c r="D10" t="s">
        <v>29</v>
      </c>
      <c r="E10" s="1">
        <v>46177.509485173614</v>
      </c>
      <c r="F10" t="s">
        <v>45</v>
      </c>
      <c r="G10" t="s">
        <v>52</v>
      </c>
      <c r="H10" t="s">
        <v>53</v>
      </c>
      <c r="I10" t="s">
        <v>54</v>
      </c>
      <c r="J10">
        <v>0.95</v>
      </c>
      <c r="K10">
        <v>0.85</v>
      </c>
      <c r="L10">
        <v>0</v>
      </c>
      <c r="M10">
        <v>0</v>
      </c>
      <c r="N10">
        <v>0</v>
      </c>
      <c r="O10" t="b">
        <v>1</v>
      </c>
      <c r="P10" t="s">
        <v>33</v>
      </c>
      <c r="Q10" t="s">
        <v>34</v>
      </c>
    </row>
    <row r="11" spans="1:17" x14ac:dyDescent="0.25">
      <c r="A11">
        <v>1780574892946</v>
      </c>
      <c r="B11" t="s">
        <v>55</v>
      </c>
      <c r="C11">
        <v>1</v>
      </c>
      <c r="D11" t="s">
        <v>18</v>
      </c>
      <c r="E11" s="1">
        <v>46177.630705405092</v>
      </c>
      <c r="F11" t="s">
        <v>56</v>
      </c>
      <c r="G11" t="s">
        <v>57</v>
      </c>
      <c r="H11" t="s">
        <v>58</v>
      </c>
      <c r="I11" t="s">
        <v>59</v>
      </c>
      <c r="J11">
        <v>0.95</v>
      </c>
      <c r="L11">
        <v>0</v>
      </c>
      <c r="M11">
        <v>0</v>
      </c>
      <c r="N11">
        <v>0</v>
      </c>
      <c r="O11" t="b">
        <v>1</v>
      </c>
      <c r="P11" t="s">
        <v>60</v>
      </c>
      <c r="Q11" t="s">
        <v>366</v>
      </c>
    </row>
    <row r="12" spans="1:17" x14ac:dyDescent="0.25">
      <c r="A12">
        <v>1780574903737</v>
      </c>
      <c r="B12" t="s">
        <v>55</v>
      </c>
      <c r="C12">
        <v>1</v>
      </c>
      <c r="D12" t="s">
        <v>24</v>
      </c>
      <c r="E12" s="1">
        <v>46177.630830289352</v>
      </c>
      <c r="F12" t="s">
        <v>56</v>
      </c>
      <c r="G12" t="s">
        <v>61</v>
      </c>
      <c r="H12" t="s">
        <v>62</v>
      </c>
      <c r="I12" t="s">
        <v>63</v>
      </c>
      <c r="J12">
        <v>0.95</v>
      </c>
      <c r="L12">
        <v>0</v>
      </c>
      <c r="M12">
        <v>0</v>
      </c>
      <c r="N12">
        <v>0</v>
      </c>
      <c r="O12" t="b">
        <v>1</v>
      </c>
      <c r="P12" t="s">
        <v>64</v>
      </c>
      <c r="Q12" t="s">
        <v>366</v>
      </c>
    </row>
    <row r="13" spans="1:17" x14ac:dyDescent="0.25">
      <c r="A13">
        <v>1780574915175</v>
      </c>
      <c r="B13" t="s">
        <v>55</v>
      </c>
      <c r="C13">
        <v>1</v>
      </c>
      <c r="D13" t="s">
        <v>29</v>
      </c>
      <c r="E13" s="1">
        <v>46177.630962673611</v>
      </c>
      <c r="F13" t="s">
        <v>56</v>
      </c>
      <c r="G13" t="s">
        <v>65</v>
      </c>
      <c r="H13" t="s">
        <v>66</v>
      </c>
      <c r="I13" t="s">
        <v>67</v>
      </c>
      <c r="J13">
        <v>0.98</v>
      </c>
      <c r="K13">
        <v>0.95</v>
      </c>
      <c r="L13">
        <v>0</v>
      </c>
      <c r="M13">
        <v>0</v>
      </c>
      <c r="N13">
        <v>0</v>
      </c>
      <c r="O13" t="b">
        <v>1</v>
      </c>
      <c r="P13" t="s">
        <v>68</v>
      </c>
      <c r="Q13" t="s">
        <v>34</v>
      </c>
    </row>
    <row r="14" spans="1:17" x14ac:dyDescent="0.25">
      <c r="A14">
        <v>1780575855817</v>
      </c>
      <c r="B14" t="s">
        <v>55</v>
      </c>
      <c r="C14">
        <v>1</v>
      </c>
      <c r="D14" t="s">
        <v>18</v>
      </c>
      <c r="E14" s="1">
        <v>46177.641849733795</v>
      </c>
      <c r="F14" t="s">
        <v>69</v>
      </c>
      <c r="G14" t="s">
        <v>70</v>
      </c>
      <c r="H14" t="s">
        <v>71</v>
      </c>
      <c r="I14" t="s">
        <v>72</v>
      </c>
      <c r="J14">
        <v>1</v>
      </c>
      <c r="L14">
        <v>0</v>
      </c>
      <c r="M14">
        <v>0</v>
      </c>
      <c r="N14">
        <v>0</v>
      </c>
      <c r="O14" t="b">
        <v>1</v>
      </c>
      <c r="P14" t="s">
        <v>60</v>
      </c>
      <c r="Q14" t="s">
        <v>366</v>
      </c>
    </row>
    <row r="15" spans="1:17" x14ac:dyDescent="0.25">
      <c r="A15">
        <v>1780575867997</v>
      </c>
      <c r="B15" t="s">
        <v>55</v>
      </c>
      <c r="C15">
        <v>1</v>
      </c>
      <c r="D15" t="s">
        <v>24</v>
      </c>
      <c r="E15" s="1">
        <v>46177.641990717595</v>
      </c>
      <c r="F15" t="s">
        <v>69</v>
      </c>
      <c r="G15" t="s">
        <v>73</v>
      </c>
      <c r="H15" t="s">
        <v>74</v>
      </c>
      <c r="I15" t="s">
        <v>75</v>
      </c>
      <c r="J15">
        <v>1</v>
      </c>
      <c r="L15">
        <v>0</v>
      </c>
      <c r="M15">
        <v>0</v>
      </c>
      <c r="N15">
        <v>0</v>
      </c>
      <c r="O15" t="b">
        <v>1</v>
      </c>
      <c r="P15" t="s">
        <v>64</v>
      </c>
      <c r="Q15" t="s">
        <v>366</v>
      </c>
    </row>
    <row r="16" spans="1:17" x14ac:dyDescent="0.25">
      <c r="A16">
        <v>1780575879320</v>
      </c>
      <c r="B16" t="s">
        <v>55</v>
      </c>
      <c r="C16">
        <v>1</v>
      </c>
      <c r="D16" t="s">
        <v>29</v>
      </c>
      <c r="E16" s="1">
        <v>46177.642121770834</v>
      </c>
      <c r="F16" t="s">
        <v>69</v>
      </c>
      <c r="G16" t="s">
        <v>76</v>
      </c>
      <c r="H16" t="s">
        <v>77</v>
      </c>
      <c r="I16" t="s">
        <v>78</v>
      </c>
      <c r="J16">
        <v>1</v>
      </c>
      <c r="K16">
        <v>1</v>
      </c>
      <c r="L16">
        <v>0</v>
      </c>
      <c r="M16">
        <v>0</v>
      </c>
      <c r="N16">
        <v>0</v>
      </c>
      <c r="O16" t="b">
        <v>1</v>
      </c>
      <c r="P16" t="s">
        <v>68</v>
      </c>
      <c r="Q16" t="s">
        <v>34</v>
      </c>
    </row>
    <row r="17" spans="1:17" x14ac:dyDescent="0.25">
      <c r="A17">
        <v>1780576994343</v>
      </c>
      <c r="B17" t="s">
        <v>55</v>
      </c>
      <c r="C17">
        <v>1</v>
      </c>
      <c r="D17" t="s">
        <v>18</v>
      </c>
      <c r="E17" s="1">
        <v>46177.655027129629</v>
      </c>
      <c r="F17" t="s">
        <v>79</v>
      </c>
      <c r="G17" t="s">
        <v>80</v>
      </c>
      <c r="H17" t="s">
        <v>81</v>
      </c>
      <c r="I17" t="s">
        <v>82</v>
      </c>
      <c r="J17">
        <v>1</v>
      </c>
      <c r="L17">
        <v>0</v>
      </c>
      <c r="M17">
        <v>0</v>
      </c>
      <c r="N17">
        <v>0</v>
      </c>
      <c r="O17" t="b">
        <v>1</v>
      </c>
      <c r="P17" t="s">
        <v>60</v>
      </c>
      <c r="Q17" t="s">
        <v>366</v>
      </c>
    </row>
    <row r="18" spans="1:17" x14ac:dyDescent="0.25">
      <c r="A18">
        <v>1780577003965</v>
      </c>
      <c r="B18" t="s">
        <v>55</v>
      </c>
      <c r="C18">
        <v>1</v>
      </c>
      <c r="D18" t="s">
        <v>24</v>
      </c>
      <c r="E18" s="1">
        <v>46177.655138495371</v>
      </c>
      <c r="F18" t="s">
        <v>79</v>
      </c>
      <c r="G18" t="s">
        <v>83</v>
      </c>
      <c r="H18" t="s">
        <v>84</v>
      </c>
      <c r="I18" t="s">
        <v>85</v>
      </c>
      <c r="J18">
        <v>1</v>
      </c>
      <c r="L18">
        <v>0</v>
      </c>
      <c r="M18">
        <v>0</v>
      </c>
      <c r="N18">
        <v>0</v>
      </c>
      <c r="O18" t="b">
        <v>1</v>
      </c>
      <c r="P18" t="s">
        <v>64</v>
      </c>
      <c r="Q18" t="s">
        <v>366</v>
      </c>
    </row>
    <row r="19" spans="1:17" x14ac:dyDescent="0.25">
      <c r="A19">
        <v>1780577017923</v>
      </c>
      <c r="B19" t="s">
        <v>55</v>
      </c>
      <c r="C19">
        <v>1</v>
      </c>
      <c r="D19" t="s">
        <v>29</v>
      </c>
      <c r="E19" s="1">
        <v>46177.655300034719</v>
      </c>
      <c r="F19" t="s">
        <v>79</v>
      </c>
      <c r="G19" t="s">
        <v>86</v>
      </c>
      <c r="H19" t="s">
        <v>87</v>
      </c>
      <c r="I19" t="s">
        <v>88</v>
      </c>
      <c r="J19">
        <v>1</v>
      </c>
      <c r="K19">
        <v>0.95</v>
      </c>
      <c r="L19">
        <v>0</v>
      </c>
      <c r="M19">
        <v>0</v>
      </c>
      <c r="N19">
        <v>0</v>
      </c>
      <c r="O19" t="b">
        <v>1</v>
      </c>
      <c r="P19" t="s">
        <v>68</v>
      </c>
      <c r="Q19" t="s">
        <v>34</v>
      </c>
    </row>
    <row r="20" spans="1:17" x14ac:dyDescent="0.25">
      <c r="A20">
        <v>1780578566594</v>
      </c>
      <c r="B20" t="s">
        <v>55</v>
      </c>
      <c r="C20">
        <v>1</v>
      </c>
      <c r="D20" t="s">
        <v>18</v>
      </c>
      <c r="E20" s="1">
        <v>46177.673224479164</v>
      </c>
      <c r="F20" t="s">
        <v>89</v>
      </c>
      <c r="G20" t="s">
        <v>90</v>
      </c>
      <c r="H20" t="s">
        <v>91</v>
      </c>
      <c r="I20" t="s">
        <v>92</v>
      </c>
      <c r="J20">
        <v>0.95</v>
      </c>
      <c r="L20">
        <v>0</v>
      </c>
      <c r="M20">
        <v>0</v>
      </c>
      <c r="N20">
        <v>0</v>
      </c>
      <c r="O20" t="b">
        <v>1</v>
      </c>
      <c r="P20" t="s">
        <v>60</v>
      </c>
      <c r="Q20" t="s">
        <v>366</v>
      </c>
    </row>
    <row r="21" spans="1:17" x14ac:dyDescent="0.25">
      <c r="A21">
        <v>1780578577218</v>
      </c>
      <c r="B21" t="s">
        <v>55</v>
      </c>
      <c r="C21">
        <v>1</v>
      </c>
      <c r="D21" t="s">
        <v>24</v>
      </c>
      <c r="E21" s="1">
        <v>46177.673347430558</v>
      </c>
      <c r="F21" t="s">
        <v>89</v>
      </c>
      <c r="G21" t="s">
        <v>93</v>
      </c>
      <c r="H21" t="s">
        <v>94</v>
      </c>
      <c r="I21" t="s">
        <v>95</v>
      </c>
      <c r="J21">
        <v>0.95</v>
      </c>
      <c r="L21">
        <v>0</v>
      </c>
      <c r="M21">
        <v>0</v>
      </c>
      <c r="N21">
        <v>0</v>
      </c>
      <c r="O21" t="b">
        <v>1</v>
      </c>
      <c r="P21" t="s">
        <v>64</v>
      </c>
      <c r="Q21" t="s">
        <v>366</v>
      </c>
    </row>
    <row r="22" spans="1:17" x14ac:dyDescent="0.25">
      <c r="A22">
        <v>1780578589961</v>
      </c>
      <c r="B22" t="s">
        <v>55</v>
      </c>
      <c r="C22">
        <v>1</v>
      </c>
      <c r="D22" t="s">
        <v>29</v>
      </c>
      <c r="E22" s="1">
        <v>46177.67349494213</v>
      </c>
      <c r="F22" t="s">
        <v>89</v>
      </c>
      <c r="G22" t="s">
        <v>96</v>
      </c>
      <c r="H22" t="s">
        <v>97</v>
      </c>
      <c r="I22" t="s">
        <v>98</v>
      </c>
      <c r="J22">
        <v>1</v>
      </c>
      <c r="K22">
        <v>0.95</v>
      </c>
      <c r="L22">
        <v>0</v>
      </c>
      <c r="M22">
        <v>0</v>
      </c>
      <c r="N22">
        <v>0</v>
      </c>
      <c r="O22" t="b">
        <v>1</v>
      </c>
      <c r="P22" t="s">
        <v>68</v>
      </c>
      <c r="Q22" t="s">
        <v>34</v>
      </c>
    </row>
    <row r="23" spans="1:17" x14ac:dyDescent="0.25">
      <c r="A23">
        <v>1780578618719</v>
      </c>
      <c r="B23" t="s">
        <v>55</v>
      </c>
      <c r="C23">
        <v>1</v>
      </c>
      <c r="D23" t="s">
        <v>18</v>
      </c>
      <c r="E23" s="1">
        <v>46177.673827766201</v>
      </c>
      <c r="F23" t="s">
        <v>99</v>
      </c>
      <c r="G23" t="s">
        <v>100</v>
      </c>
      <c r="H23" t="s">
        <v>101</v>
      </c>
      <c r="I23" t="s">
        <v>102</v>
      </c>
      <c r="J23">
        <v>1</v>
      </c>
      <c r="L23">
        <v>0</v>
      </c>
      <c r="M23">
        <v>0</v>
      </c>
      <c r="N23">
        <v>0</v>
      </c>
      <c r="O23" t="b">
        <v>1</v>
      </c>
      <c r="P23" t="s">
        <v>60</v>
      </c>
      <c r="Q23" t="s">
        <v>366</v>
      </c>
    </row>
    <row r="24" spans="1:17" x14ac:dyDescent="0.25">
      <c r="A24">
        <v>1780578629992</v>
      </c>
      <c r="B24" t="s">
        <v>55</v>
      </c>
      <c r="C24">
        <v>1</v>
      </c>
      <c r="D24" t="s">
        <v>24</v>
      </c>
      <c r="E24" s="1">
        <v>46177.673958263891</v>
      </c>
      <c r="F24" t="s">
        <v>99</v>
      </c>
      <c r="G24" t="s">
        <v>103</v>
      </c>
      <c r="H24" t="s">
        <v>104</v>
      </c>
      <c r="I24" t="s">
        <v>105</v>
      </c>
      <c r="J24">
        <v>1</v>
      </c>
      <c r="L24">
        <v>0</v>
      </c>
      <c r="M24">
        <v>0</v>
      </c>
      <c r="N24">
        <v>0</v>
      </c>
      <c r="O24" t="b">
        <v>1</v>
      </c>
      <c r="P24" t="s">
        <v>64</v>
      </c>
      <c r="Q24" t="s">
        <v>366</v>
      </c>
    </row>
    <row r="25" spans="1:17" x14ac:dyDescent="0.25">
      <c r="A25">
        <v>1780578642455</v>
      </c>
      <c r="B25" t="s">
        <v>55</v>
      </c>
      <c r="C25">
        <v>1</v>
      </c>
      <c r="D25" t="s">
        <v>29</v>
      </c>
      <c r="E25" s="1">
        <v>46177.674102500001</v>
      </c>
      <c r="F25" t="s">
        <v>99</v>
      </c>
      <c r="G25" t="s">
        <v>106</v>
      </c>
      <c r="H25" t="s">
        <v>107</v>
      </c>
      <c r="I25" t="s">
        <v>108</v>
      </c>
      <c r="J25">
        <v>1</v>
      </c>
      <c r="K25">
        <v>0.95</v>
      </c>
      <c r="L25">
        <v>0</v>
      </c>
      <c r="M25">
        <v>0</v>
      </c>
      <c r="N25">
        <v>0</v>
      </c>
      <c r="O25" t="b">
        <v>1</v>
      </c>
      <c r="P25" t="s">
        <v>68</v>
      </c>
      <c r="Q25" t="s">
        <v>34</v>
      </c>
    </row>
    <row r="26" spans="1:17" x14ac:dyDescent="0.25">
      <c r="A26">
        <v>1780592134171</v>
      </c>
      <c r="B26" t="s">
        <v>55</v>
      </c>
      <c r="C26">
        <v>1</v>
      </c>
      <c r="D26" t="s">
        <v>18</v>
      </c>
      <c r="E26" s="1">
        <v>46177.830256620371</v>
      </c>
      <c r="F26" t="s">
        <v>109</v>
      </c>
      <c r="G26" t="s">
        <v>110</v>
      </c>
      <c r="H26" t="s">
        <v>111</v>
      </c>
      <c r="I26" t="s">
        <v>112</v>
      </c>
      <c r="J26">
        <v>1</v>
      </c>
      <c r="L26">
        <v>0</v>
      </c>
      <c r="M26">
        <v>0</v>
      </c>
      <c r="N26">
        <v>0</v>
      </c>
      <c r="O26" t="b">
        <v>1</v>
      </c>
      <c r="P26" t="s">
        <v>60</v>
      </c>
      <c r="Q26" t="s">
        <v>366</v>
      </c>
    </row>
    <row r="27" spans="1:17" x14ac:dyDescent="0.25">
      <c r="A27">
        <v>1780592144663</v>
      </c>
      <c r="B27" t="s">
        <v>55</v>
      </c>
      <c r="C27">
        <v>1</v>
      </c>
      <c r="D27" t="s">
        <v>24</v>
      </c>
      <c r="E27" s="1">
        <v>46177.830378055558</v>
      </c>
      <c r="F27" t="s">
        <v>109</v>
      </c>
      <c r="G27" t="s">
        <v>388</v>
      </c>
      <c r="H27" t="s">
        <v>389</v>
      </c>
      <c r="I27" t="s">
        <v>113</v>
      </c>
      <c r="J27">
        <v>1</v>
      </c>
      <c r="L27">
        <v>0</v>
      </c>
      <c r="M27">
        <v>0</v>
      </c>
      <c r="N27">
        <v>0</v>
      </c>
      <c r="O27" t="b">
        <v>1</v>
      </c>
      <c r="P27" t="s">
        <v>64</v>
      </c>
      <c r="Q27" t="s">
        <v>366</v>
      </c>
    </row>
    <row r="28" spans="1:17" x14ac:dyDescent="0.25">
      <c r="A28">
        <v>1780592161109</v>
      </c>
      <c r="B28" t="s">
        <v>55</v>
      </c>
      <c r="C28">
        <v>1</v>
      </c>
      <c r="D28" t="s">
        <v>29</v>
      </c>
      <c r="E28" s="1">
        <v>46177.83056840278</v>
      </c>
      <c r="F28" t="s">
        <v>109</v>
      </c>
      <c r="G28" t="s">
        <v>114</v>
      </c>
      <c r="H28" t="s">
        <v>115</v>
      </c>
      <c r="I28" t="s">
        <v>116</v>
      </c>
      <c r="J28">
        <v>1</v>
      </c>
      <c r="K28">
        <v>0.98</v>
      </c>
      <c r="L28">
        <v>0</v>
      </c>
      <c r="M28">
        <v>0</v>
      </c>
      <c r="N28">
        <v>0</v>
      </c>
      <c r="O28" t="b">
        <v>1</v>
      </c>
      <c r="P28" t="s">
        <v>68</v>
      </c>
      <c r="Q28" t="s">
        <v>34</v>
      </c>
    </row>
    <row r="29" spans="1:17" x14ac:dyDescent="0.25">
      <c r="A29">
        <v>1780592416686</v>
      </c>
      <c r="B29" t="s">
        <v>55</v>
      </c>
      <c r="C29">
        <v>1</v>
      </c>
      <c r="D29" t="s">
        <v>18</v>
      </c>
      <c r="E29" s="1">
        <v>46177.833526469905</v>
      </c>
      <c r="F29" t="s">
        <v>117</v>
      </c>
      <c r="G29" t="s">
        <v>118</v>
      </c>
      <c r="H29" t="s">
        <v>119</v>
      </c>
      <c r="I29" t="s">
        <v>120</v>
      </c>
      <c r="J29">
        <v>1</v>
      </c>
      <c r="L29">
        <v>0</v>
      </c>
      <c r="M29">
        <v>0</v>
      </c>
      <c r="N29">
        <v>0</v>
      </c>
      <c r="O29" t="b">
        <v>1</v>
      </c>
      <c r="P29" t="s">
        <v>60</v>
      </c>
      <c r="Q29" t="s">
        <v>366</v>
      </c>
    </row>
    <row r="30" spans="1:17" x14ac:dyDescent="0.25">
      <c r="A30">
        <v>1780592437302</v>
      </c>
      <c r="B30" t="s">
        <v>55</v>
      </c>
      <c r="C30">
        <v>1</v>
      </c>
      <c r="D30" t="s">
        <v>24</v>
      </c>
      <c r="E30" s="1">
        <v>46177.833765081021</v>
      </c>
      <c r="F30" t="s">
        <v>117</v>
      </c>
      <c r="G30" t="s">
        <v>121</v>
      </c>
      <c r="H30" t="s">
        <v>122</v>
      </c>
      <c r="I30" t="s">
        <v>123</v>
      </c>
      <c r="J30">
        <v>1</v>
      </c>
      <c r="L30">
        <v>0</v>
      </c>
      <c r="M30">
        <v>0</v>
      </c>
      <c r="N30">
        <v>0</v>
      </c>
      <c r="O30" t="b">
        <v>1</v>
      </c>
      <c r="P30" t="s">
        <v>64</v>
      </c>
      <c r="Q30" t="s">
        <v>366</v>
      </c>
    </row>
    <row r="31" spans="1:17" x14ac:dyDescent="0.25">
      <c r="A31">
        <v>1780592453508</v>
      </c>
      <c r="B31" t="s">
        <v>55</v>
      </c>
      <c r="C31">
        <v>1</v>
      </c>
      <c r="D31" t="s">
        <v>29</v>
      </c>
      <c r="E31" s="1">
        <v>46177.833952638888</v>
      </c>
      <c r="F31" t="s">
        <v>117</v>
      </c>
      <c r="G31" t="s">
        <v>390</v>
      </c>
      <c r="H31" t="s">
        <v>391</v>
      </c>
      <c r="I31" t="s">
        <v>124</v>
      </c>
      <c r="J31">
        <v>1</v>
      </c>
      <c r="K31">
        <v>0.95</v>
      </c>
      <c r="L31">
        <v>0</v>
      </c>
      <c r="M31">
        <v>0</v>
      </c>
      <c r="N31">
        <v>0</v>
      </c>
      <c r="O31" t="b">
        <v>1</v>
      </c>
      <c r="P31" t="s">
        <v>68</v>
      </c>
      <c r="Q31" t="s">
        <v>34</v>
      </c>
    </row>
    <row r="32" spans="1:17" x14ac:dyDescent="0.25">
      <c r="A32">
        <v>1780592534321</v>
      </c>
      <c r="B32" t="s">
        <v>55</v>
      </c>
      <c r="C32">
        <v>1</v>
      </c>
      <c r="D32" t="s">
        <v>24</v>
      </c>
      <c r="E32" s="1">
        <v>46177.834887974539</v>
      </c>
      <c r="F32" t="s">
        <v>125</v>
      </c>
      <c r="G32" t="s">
        <v>126</v>
      </c>
      <c r="H32" t="s">
        <v>127</v>
      </c>
      <c r="I32" t="s">
        <v>128</v>
      </c>
      <c r="J32">
        <v>1</v>
      </c>
      <c r="L32">
        <v>0</v>
      </c>
      <c r="M32">
        <v>0</v>
      </c>
      <c r="N32">
        <v>0</v>
      </c>
      <c r="O32" t="b">
        <v>1</v>
      </c>
      <c r="P32" t="s">
        <v>64</v>
      </c>
      <c r="Q32" t="s">
        <v>366</v>
      </c>
    </row>
    <row r="33" spans="1:17" x14ac:dyDescent="0.25">
      <c r="A33">
        <v>1780592545486</v>
      </c>
      <c r="B33" t="s">
        <v>55</v>
      </c>
      <c r="C33">
        <v>1</v>
      </c>
      <c r="D33" t="s">
        <v>29</v>
      </c>
      <c r="E33" s="1">
        <v>46177.835017210651</v>
      </c>
      <c r="F33" t="s">
        <v>125</v>
      </c>
      <c r="G33" t="s">
        <v>129</v>
      </c>
      <c r="H33" t="s">
        <v>130</v>
      </c>
      <c r="I33" t="s">
        <v>131</v>
      </c>
      <c r="J33">
        <v>1</v>
      </c>
      <c r="K33">
        <v>0.95</v>
      </c>
      <c r="L33">
        <v>0</v>
      </c>
      <c r="M33">
        <v>0</v>
      </c>
      <c r="N33">
        <v>0</v>
      </c>
      <c r="O33" t="b">
        <v>1</v>
      </c>
      <c r="P33" t="s">
        <v>68</v>
      </c>
      <c r="Q33" t="s">
        <v>34</v>
      </c>
    </row>
    <row r="34" spans="1:17" x14ac:dyDescent="0.25">
      <c r="A34">
        <v>1780592630484</v>
      </c>
      <c r="B34" t="s">
        <v>55</v>
      </c>
      <c r="C34">
        <v>1</v>
      </c>
      <c r="D34" t="s">
        <v>18</v>
      </c>
      <c r="E34" s="1">
        <v>46177.836000995369</v>
      </c>
      <c r="F34" t="s">
        <v>132</v>
      </c>
      <c r="G34" t="s">
        <v>133</v>
      </c>
      <c r="H34" t="s">
        <v>134</v>
      </c>
      <c r="I34" t="s">
        <v>135</v>
      </c>
      <c r="J34">
        <v>0.95</v>
      </c>
      <c r="L34">
        <v>0</v>
      </c>
      <c r="M34">
        <v>0</v>
      </c>
      <c r="N34">
        <v>0</v>
      </c>
      <c r="O34" t="b">
        <v>1</v>
      </c>
      <c r="P34" t="s">
        <v>60</v>
      </c>
      <c r="Q34" t="s">
        <v>366</v>
      </c>
    </row>
    <row r="35" spans="1:17" x14ac:dyDescent="0.25">
      <c r="A35">
        <v>1780592643747</v>
      </c>
      <c r="B35" t="s">
        <v>55</v>
      </c>
      <c r="C35">
        <v>1</v>
      </c>
      <c r="D35" t="s">
        <v>24</v>
      </c>
      <c r="E35" s="1">
        <v>46177.836154525467</v>
      </c>
      <c r="F35" t="s">
        <v>132</v>
      </c>
      <c r="G35" t="s">
        <v>392</v>
      </c>
      <c r="H35" t="s">
        <v>393</v>
      </c>
      <c r="I35" t="s">
        <v>136</v>
      </c>
      <c r="J35">
        <v>0.95</v>
      </c>
      <c r="L35">
        <v>0</v>
      </c>
      <c r="M35">
        <v>0</v>
      </c>
      <c r="N35">
        <v>0</v>
      </c>
      <c r="O35" t="b">
        <v>1</v>
      </c>
      <c r="P35" t="s">
        <v>64</v>
      </c>
      <c r="Q35" t="s">
        <v>366</v>
      </c>
    </row>
    <row r="36" spans="1:17" x14ac:dyDescent="0.25">
      <c r="A36">
        <v>1780592655630</v>
      </c>
      <c r="B36" t="s">
        <v>55</v>
      </c>
      <c r="C36">
        <v>1</v>
      </c>
      <c r="D36" t="s">
        <v>29</v>
      </c>
      <c r="E36" s="1">
        <v>46177.836292025466</v>
      </c>
      <c r="F36" t="s">
        <v>132</v>
      </c>
      <c r="G36" t="s">
        <v>137</v>
      </c>
      <c r="H36" t="s">
        <v>138</v>
      </c>
      <c r="I36" t="s">
        <v>139</v>
      </c>
      <c r="J36">
        <v>0.95</v>
      </c>
      <c r="K36">
        <v>0.92</v>
      </c>
      <c r="L36">
        <v>0</v>
      </c>
      <c r="M36">
        <v>0</v>
      </c>
      <c r="N36">
        <v>0</v>
      </c>
      <c r="O36" t="b">
        <v>1</v>
      </c>
      <c r="P36" t="s">
        <v>68</v>
      </c>
      <c r="Q36" t="s">
        <v>34</v>
      </c>
    </row>
    <row r="37" spans="1:17" x14ac:dyDescent="0.25">
      <c r="A37">
        <v>1780592707411</v>
      </c>
      <c r="B37" t="s">
        <v>55</v>
      </c>
      <c r="C37">
        <v>1</v>
      </c>
      <c r="D37" t="s">
        <v>18</v>
      </c>
      <c r="E37" s="1">
        <v>46177.836891331019</v>
      </c>
      <c r="F37" t="s">
        <v>140</v>
      </c>
      <c r="G37" t="s">
        <v>141</v>
      </c>
      <c r="H37" t="s">
        <v>142</v>
      </c>
      <c r="I37" t="s">
        <v>143</v>
      </c>
      <c r="J37">
        <v>0.95</v>
      </c>
      <c r="L37">
        <v>0</v>
      </c>
      <c r="M37">
        <v>0</v>
      </c>
      <c r="N37">
        <v>0</v>
      </c>
      <c r="O37" t="b">
        <v>1</v>
      </c>
      <c r="P37" t="s">
        <v>60</v>
      </c>
      <c r="Q37" t="s">
        <v>366</v>
      </c>
    </row>
    <row r="38" spans="1:17" x14ac:dyDescent="0.25">
      <c r="A38">
        <v>1780592721050</v>
      </c>
      <c r="B38" t="s">
        <v>55</v>
      </c>
      <c r="C38">
        <v>1</v>
      </c>
      <c r="D38" t="s">
        <v>24</v>
      </c>
      <c r="E38" s="1">
        <v>46177.837049189817</v>
      </c>
      <c r="F38" t="s">
        <v>140</v>
      </c>
      <c r="G38" t="s">
        <v>144</v>
      </c>
      <c r="H38" t="s">
        <v>145</v>
      </c>
      <c r="I38" t="s">
        <v>146</v>
      </c>
      <c r="J38">
        <v>0.95</v>
      </c>
      <c r="L38">
        <v>0</v>
      </c>
      <c r="M38">
        <v>0</v>
      </c>
      <c r="N38">
        <v>0</v>
      </c>
      <c r="O38" t="b">
        <v>1</v>
      </c>
      <c r="P38" t="s">
        <v>64</v>
      </c>
      <c r="Q38" t="s">
        <v>366</v>
      </c>
    </row>
    <row r="39" spans="1:17" x14ac:dyDescent="0.25">
      <c r="A39">
        <v>1780592738156</v>
      </c>
      <c r="B39" t="s">
        <v>55</v>
      </c>
      <c r="C39">
        <v>1</v>
      </c>
      <c r="D39" t="s">
        <v>29</v>
      </c>
      <c r="E39" s="1">
        <v>46177.837247187497</v>
      </c>
      <c r="F39" t="s">
        <v>140</v>
      </c>
      <c r="G39" t="s">
        <v>147</v>
      </c>
      <c r="H39" t="s">
        <v>148</v>
      </c>
      <c r="I39" t="s">
        <v>149</v>
      </c>
      <c r="J39">
        <v>1</v>
      </c>
      <c r="K39">
        <v>0.92</v>
      </c>
      <c r="L39">
        <v>0</v>
      </c>
      <c r="M39">
        <v>0</v>
      </c>
      <c r="N39">
        <v>0</v>
      </c>
      <c r="O39" t="b">
        <v>1</v>
      </c>
      <c r="P39" t="s">
        <v>68</v>
      </c>
      <c r="Q39" t="s">
        <v>34</v>
      </c>
    </row>
    <row r="40" spans="1:17" x14ac:dyDescent="0.25">
      <c r="A40">
        <v>1780594284298</v>
      </c>
      <c r="B40" t="s">
        <v>55</v>
      </c>
      <c r="C40">
        <v>1</v>
      </c>
      <c r="D40" t="s">
        <v>18</v>
      </c>
      <c r="E40" s="1">
        <v>46177.855142337961</v>
      </c>
      <c r="F40" t="s">
        <v>150</v>
      </c>
      <c r="G40" t="s">
        <v>151</v>
      </c>
      <c r="H40" t="s">
        <v>152</v>
      </c>
      <c r="I40" t="s">
        <v>153</v>
      </c>
      <c r="J40">
        <v>0.95</v>
      </c>
      <c r="L40">
        <v>0</v>
      </c>
      <c r="M40">
        <v>0</v>
      </c>
      <c r="N40">
        <v>0</v>
      </c>
      <c r="O40" t="b">
        <v>1</v>
      </c>
      <c r="P40" t="s">
        <v>60</v>
      </c>
      <c r="Q40" t="s">
        <v>366</v>
      </c>
    </row>
    <row r="41" spans="1:17" x14ac:dyDescent="0.25">
      <c r="A41">
        <v>1780596118666</v>
      </c>
      <c r="B41" t="s">
        <v>55</v>
      </c>
      <c r="C41">
        <v>1</v>
      </c>
      <c r="D41" t="s">
        <v>18</v>
      </c>
      <c r="E41" s="1">
        <v>46177.876373460647</v>
      </c>
      <c r="F41" t="s">
        <v>154</v>
      </c>
      <c r="G41" t="s">
        <v>155</v>
      </c>
      <c r="H41" t="s">
        <v>156</v>
      </c>
      <c r="I41" t="s">
        <v>157</v>
      </c>
      <c r="J41">
        <v>0.95</v>
      </c>
      <c r="L41">
        <v>0</v>
      </c>
      <c r="M41">
        <v>0</v>
      </c>
      <c r="N41">
        <v>0</v>
      </c>
      <c r="O41" t="b">
        <v>1</v>
      </c>
      <c r="P41" t="s">
        <v>60</v>
      </c>
      <c r="Q41" t="s">
        <v>366</v>
      </c>
    </row>
    <row r="42" spans="1:17" x14ac:dyDescent="0.25">
      <c r="A42">
        <v>1780596135290</v>
      </c>
      <c r="B42" t="s">
        <v>55</v>
      </c>
      <c r="C42">
        <v>1</v>
      </c>
      <c r="D42" t="s">
        <v>24</v>
      </c>
      <c r="E42" s="1">
        <v>46177.876565856481</v>
      </c>
      <c r="F42" t="s">
        <v>154</v>
      </c>
      <c r="G42" t="s">
        <v>158</v>
      </c>
      <c r="H42" t="s">
        <v>159</v>
      </c>
      <c r="I42" t="s">
        <v>160</v>
      </c>
      <c r="J42">
        <v>0.95</v>
      </c>
      <c r="L42">
        <v>0</v>
      </c>
      <c r="M42">
        <v>0</v>
      </c>
      <c r="N42">
        <v>0</v>
      </c>
      <c r="O42" t="b">
        <v>1</v>
      </c>
      <c r="P42" t="s">
        <v>64</v>
      </c>
      <c r="Q42" t="s">
        <v>366</v>
      </c>
    </row>
    <row r="43" spans="1:17" x14ac:dyDescent="0.25">
      <c r="A43">
        <v>1780596152936</v>
      </c>
      <c r="B43" t="s">
        <v>55</v>
      </c>
      <c r="C43">
        <v>1</v>
      </c>
      <c r="D43" t="s">
        <v>29</v>
      </c>
      <c r="E43" s="1">
        <v>46177.876770104165</v>
      </c>
      <c r="F43" t="s">
        <v>154</v>
      </c>
      <c r="G43" t="s">
        <v>161</v>
      </c>
      <c r="H43" t="s">
        <v>162</v>
      </c>
      <c r="I43" t="s">
        <v>163</v>
      </c>
      <c r="J43">
        <v>0.95</v>
      </c>
      <c r="K43">
        <v>0.92</v>
      </c>
      <c r="L43">
        <v>0</v>
      </c>
      <c r="M43">
        <v>0</v>
      </c>
      <c r="N43">
        <v>0</v>
      </c>
      <c r="O43" t="b">
        <v>1</v>
      </c>
      <c r="P43" t="s">
        <v>68</v>
      </c>
      <c r="Q43" t="s">
        <v>34</v>
      </c>
    </row>
    <row r="44" spans="1:17" x14ac:dyDescent="0.25">
      <c r="A44">
        <v>1780596953667</v>
      </c>
      <c r="B44" t="s">
        <v>55</v>
      </c>
      <c r="C44">
        <v>1</v>
      </c>
      <c r="D44" t="s">
        <v>18</v>
      </c>
      <c r="E44" s="1">
        <v>46177.886037812503</v>
      </c>
      <c r="F44" t="s">
        <v>164</v>
      </c>
      <c r="G44" t="s">
        <v>165</v>
      </c>
      <c r="H44" t="s">
        <v>166</v>
      </c>
      <c r="I44" t="s">
        <v>167</v>
      </c>
      <c r="J44">
        <v>1</v>
      </c>
      <c r="L44">
        <v>0</v>
      </c>
      <c r="M44">
        <v>0</v>
      </c>
      <c r="N44">
        <v>0</v>
      </c>
      <c r="O44" t="b">
        <v>1</v>
      </c>
      <c r="P44" t="s">
        <v>60</v>
      </c>
      <c r="Q44" t="s">
        <v>366</v>
      </c>
    </row>
    <row r="45" spans="1:17" x14ac:dyDescent="0.25">
      <c r="A45">
        <v>1780596966596</v>
      </c>
      <c r="B45" t="s">
        <v>55</v>
      </c>
      <c r="C45">
        <v>1</v>
      </c>
      <c r="D45" t="s">
        <v>24</v>
      </c>
      <c r="E45" s="1">
        <v>46177.886187453703</v>
      </c>
      <c r="F45" t="s">
        <v>164</v>
      </c>
      <c r="G45" t="s">
        <v>168</v>
      </c>
      <c r="H45" t="s">
        <v>169</v>
      </c>
      <c r="I45" t="s">
        <v>170</v>
      </c>
      <c r="J45">
        <v>0.95</v>
      </c>
      <c r="L45">
        <v>0</v>
      </c>
      <c r="M45">
        <v>0</v>
      </c>
      <c r="N45">
        <v>0</v>
      </c>
      <c r="O45" t="b">
        <v>1</v>
      </c>
      <c r="P45" t="s">
        <v>64</v>
      </c>
      <c r="Q45" t="s">
        <v>366</v>
      </c>
    </row>
    <row r="46" spans="1:17" x14ac:dyDescent="0.25">
      <c r="A46">
        <v>1780596983555</v>
      </c>
      <c r="B46" t="s">
        <v>55</v>
      </c>
      <c r="C46">
        <v>1</v>
      </c>
      <c r="D46" t="s">
        <v>29</v>
      </c>
      <c r="E46" s="1">
        <v>46177.886383738427</v>
      </c>
      <c r="F46" t="s">
        <v>164</v>
      </c>
      <c r="G46" t="s">
        <v>171</v>
      </c>
      <c r="H46" t="s">
        <v>172</v>
      </c>
      <c r="I46" t="s">
        <v>173</v>
      </c>
      <c r="J46">
        <v>1</v>
      </c>
      <c r="K46">
        <v>0.95</v>
      </c>
      <c r="L46">
        <v>0</v>
      </c>
      <c r="M46">
        <v>0</v>
      </c>
      <c r="N46">
        <v>0</v>
      </c>
      <c r="O46" t="b">
        <v>1</v>
      </c>
      <c r="P46" t="s">
        <v>68</v>
      </c>
      <c r="Q46" t="s">
        <v>34</v>
      </c>
    </row>
    <row r="47" spans="1:17" x14ac:dyDescent="0.25">
      <c r="A47">
        <v>1780597606685</v>
      </c>
      <c r="B47" t="s">
        <v>55</v>
      </c>
      <c r="C47">
        <v>1</v>
      </c>
      <c r="D47" t="s">
        <v>18</v>
      </c>
      <c r="E47" s="1">
        <v>46177.893595891204</v>
      </c>
      <c r="F47" t="s">
        <v>174</v>
      </c>
      <c r="G47" t="s">
        <v>175</v>
      </c>
      <c r="H47" t="s">
        <v>176</v>
      </c>
      <c r="I47" t="s">
        <v>177</v>
      </c>
      <c r="J47">
        <v>0.95</v>
      </c>
      <c r="L47">
        <v>0</v>
      </c>
      <c r="M47">
        <v>0</v>
      </c>
      <c r="N47">
        <v>0</v>
      </c>
      <c r="O47" t="b">
        <v>1</v>
      </c>
      <c r="P47" t="s">
        <v>60</v>
      </c>
      <c r="Q47" t="s">
        <v>366</v>
      </c>
    </row>
    <row r="48" spans="1:17" x14ac:dyDescent="0.25">
      <c r="A48">
        <v>1780597621343</v>
      </c>
      <c r="B48" t="s">
        <v>55</v>
      </c>
      <c r="C48">
        <v>1</v>
      </c>
      <c r="D48" t="s">
        <v>24</v>
      </c>
      <c r="E48" s="1">
        <v>46177.89376554398</v>
      </c>
      <c r="F48" t="s">
        <v>174</v>
      </c>
      <c r="G48" t="s">
        <v>178</v>
      </c>
      <c r="H48" t="s">
        <v>179</v>
      </c>
      <c r="I48" t="s">
        <v>180</v>
      </c>
      <c r="J48">
        <v>0.95</v>
      </c>
      <c r="L48">
        <v>0</v>
      </c>
      <c r="M48">
        <v>0</v>
      </c>
      <c r="N48">
        <v>0</v>
      </c>
      <c r="O48" t="b">
        <v>1</v>
      </c>
      <c r="P48" t="s">
        <v>64</v>
      </c>
      <c r="Q48" t="s">
        <v>366</v>
      </c>
    </row>
    <row r="49" spans="1:17" x14ac:dyDescent="0.25">
      <c r="A49">
        <v>1780597634783</v>
      </c>
      <c r="B49" t="s">
        <v>55</v>
      </c>
      <c r="C49">
        <v>1</v>
      </c>
      <c r="D49" t="s">
        <v>29</v>
      </c>
      <c r="E49" s="1">
        <v>46177.893921111114</v>
      </c>
      <c r="F49" t="s">
        <v>174</v>
      </c>
      <c r="G49" t="s">
        <v>181</v>
      </c>
      <c r="H49" t="s">
        <v>182</v>
      </c>
      <c r="I49" t="s">
        <v>183</v>
      </c>
      <c r="J49">
        <v>0.95</v>
      </c>
      <c r="K49">
        <v>0.95</v>
      </c>
      <c r="L49">
        <v>0</v>
      </c>
      <c r="M49">
        <v>0</v>
      </c>
      <c r="N49">
        <v>0</v>
      </c>
      <c r="O49" t="b">
        <v>1</v>
      </c>
      <c r="P49" t="s">
        <v>68</v>
      </c>
      <c r="Q49" t="s">
        <v>34</v>
      </c>
    </row>
    <row r="50" spans="1:17" x14ac:dyDescent="0.25">
      <c r="A50">
        <v>1780598933183</v>
      </c>
      <c r="B50" t="s">
        <v>55</v>
      </c>
      <c r="C50">
        <v>1</v>
      </c>
      <c r="D50" t="s">
        <v>18</v>
      </c>
      <c r="E50" s="1">
        <v>46177.908948877317</v>
      </c>
      <c r="F50" t="s">
        <v>184</v>
      </c>
      <c r="G50" t="s">
        <v>185</v>
      </c>
      <c r="H50" t="s">
        <v>186</v>
      </c>
      <c r="I50" t="s">
        <v>187</v>
      </c>
      <c r="J50">
        <v>0.95</v>
      </c>
      <c r="L50">
        <v>0</v>
      </c>
      <c r="M50">
        <v>0</v>
      </c>
      <c r="N50">
        <v>0</v>
      </c>
      <c r="O50" t="b">
        <v>1</v>
      </c>
      <c r="P50" t="s">
        <v>60</v>
      </c>
      <c r="Q50" t="s">
        <v>366</v>
      </c>
    </row>
    <row r="51" spans="1:17" x14ac:dyDescent="0.25">
      <c r="A51">
        <v>1780598947098</v>
      </c>
      <c r="B51" t="s">
        <v>55</v>
      </c>
      <c r="C51">
        <v>1</v>
      </c>
      <c r="D51" t="s">
        <v>24</v>
      </c>
      <c r="E51" s="1">
        <v>46177.909109942128</v>
      </c>
      <c r="F51" t="s">
        <v>184</v>
      </c>
      <c r="G51" t="s">
        <v>188</v>
      </c>
      <c r="H51" t="s">
        <v>189</v>
      </c>
      <c r="I51" t="s">
        <v>190</v>
      </c>
      <c r="J51">
        <v>0.95</v>
      </c>
      <c r="L51">
        <v>0</v>
      </c>
      <c r="M51">
        <v>0</v>
      </c>
      <c r="N51">
        <v>0</v>
      </c>
      <c r="O51" t="b">
        <v>1</v>
      </c>
      <c r="P51" t="s">
        <v>64</v>
      </c>
      <c r="Q51" t="s">
        <v>366</v>
      </c>
    </row>
    <row r="52" spans="1:17" x14ac:dyDescent="0.25">
      <c r="A52">
        <v>1780598961920</v>
      </c>
      <c r="B52" t="s">
        <v>55</v>
      </c>
      <c r="C52">
        <v>1</v>
      </c>
      <c r="D52" t="s">
        <v>29</v>
      </c>
      <c r="E52" s="1">
        <v>46177.909281493055</v>
      </c>
      <c r="F52" t="s">
        <v>184</v>
      </c>
      <c r="G52" t="s">
        <v>191</v>
      </c>
      <c r="H52" t="s">
        <v>192</v>
      </c>
      <c r="I52" t="s">
        <v>193</v>
      </c>
      <c r="J52">
        <v>0.98</v>
      </c>
      <c r="K52">
        <v>0.95</v>
      </c>
      <c r="L52">
        <v>0</v>
      </c>
      <c r="M52">
        <v>0</v>
      </c>
      <c r="N52">
        <v>0</v>
      </c>
      <c r="O52" t="b">
        <v>1</v>
      </c>
      <c r="P52" t="s">
        <v>68</v>
      </c>
      <c r="Q52" t="s">
        <v>34</v>
      </c>
    </row>
    <row r="53" spans="1:17" x14ac:dyDescent="0.25">
      <c r="A53">
        <v>1780599009856</v>
      </c>
      <c r="B53" t="s">
        <v>55</v>
      </c>
      <c r="C53">
        <v>1</v>
      </c>
      <c r="D53" t="s">
        <v>18</v>
      </c>
      <c r="E53" s="1">
        <v>46177.909836296298</v>
      </c>
      <c r="F53" t="s">
        <v>194</v>
      </c>
      <c r="G53" t="s">
        <v>195</v>
      </c>
      <c r="H53" t="s">
        <v>196</v>
      </c>
      <c r="I53" t="s">
        <v>197</v>
      </c>
      <c r="J53">
        <v>1</v>
      </c>
      <c r="L53">
        <v>0</v>
      </c>
      <c r="M53">
        <v>0</v>
      </c>
      <c r="N53">
        <v>0</v>
      </c>
      <c r="O53" t="b">
        <v>1</v>
      </c>
      <c r="P53" t="s">
        <v>60</v>
      </c>
      <c r="Q53" t="s">
        <v>366</v>
      </c>
    </row>
    <row r="54" spans="1:17" x14ac:dyDescent="0.25">
      <c r="A54">
        <v>1780599025011</v>
      </c>
      <c r="B54" t="s">
        <v>55</v>
      </c>
      <c r="C54">
        <v>1</v>
      </c>
      <c r="D54" t="s">
        <v>24</v>
      </c>
      <c r="E54" s="1">
        <v>46177.910011701388</v>
      </c>
      <c r="F54" t="s">
        <v>194</v>
      </c>
      <c r="G54" t="s">
        <v>198</v>
      </c>
      <c r="H54" t="s">
        <v>199</v>
      </c>
      <c r="I54" t="s">
        <v>200</v>
      </c>
      <c r="J54">
        <v>1</v>
      </c>
      <c r="L54">
        <v>0</v>
      </c>
      <c r="M54">
        <v>0</v>
      </c>
      <c r="N54">
        <v>0</v>
      </c>
      <c r="O54" t="b">
        <v>1</v>
      </c>
      <c r="P54" t="s">
        <v>64</v>
      </c>
      <c r="Q54" t="s">
        <v>366</v>
      </c>
    </row>
    <row r="55" spans="1:17" x14ac:dyDescent="0.25">
      <c r="A55">
        <v>1780599040960</v>
      </c>
      <c r="B55" t="s">
        <v>55</v>
      </c>
      <c r="C55">
        <v>1</v>
      </c>
      <c r="D55" t="s">
        <v>29</v>
      </c>
      <c r="E55" s="1">
        <v>46177.910196307872</v>
      </c>
      <c r="F55" t="s">
        <v>194</v>
      </c>
      <c r="G55" t="s">
        <v>394</v>
      </c>
      <c r="H55" t="s">
        <v>395</v>
      </c>
      <c r="I55" t="s">
        <v>201</v>
      </c>
      <c r="J55">
        <v>1</v>
      </c>
      <c r="K55">
        <v>0.95</v>
      </c>
      <c r="L55">
        <v>0</v>
      </c>
      <c r="M55">
        <v>0</v>
      </c>
      <c r="N55">
        <v>0</v>
      </c>
      <c r="O55" t="b">
        <v>1</v>
      </c>
      <c r="P55" t="s">
        <v>68</v>
      </c>
      <c r="Q55" t="s">
        <v>34</v>
      </c>
    </row>
    <row r="56" spans="1:17" x14ac:dyDescent="0.25">
      <c r="A56">
        <v>1780599513611</v>
      </c>
      <c r="B56" t="s">
        <v>55</v>
      </c>
      <c r="C56">
        <v>1</v>
      </c>
      <c r="D56" t="s">
        <v>18</v>
      </c>
      <c r="E56" s="1">
        <v>46177.915666805558</v>
      </c>
      <c r="F56" t="s">
        <v>202</v>
      </c>
      <c r="G56" t="s">
        <v>203</v>
      </c>
      <c r="H56" t="s">
        <v>204</v>
      </c>
      <c r="I56" t="s">
        <v>205</v>
      </c>
      <c r="J56">
        <v>1</v>
      </c>
      <c r="L56">
        <v>0</v>
      </c>
      <c r="M56">
        <v>0</v>
      </c>
      <c r="N56">
        <v>0</v>
      </c>
      <c r="O56" t="b">
        <v>1</v>
      </c>
      <c r="P56" t="s">
        <v>60</v>
      </c>
      <c r="Q56" t="s">
        <v>366</v>
      </c>
    </row>
    <row r="57" spans="1:17" x14ac:dyDescent="0.25">
      <c r="A57">
        <v>1780599526940</v>
      </c>
      <c r="B57" t="s">
        <v>55</v>
      </c>
      <c r="C57">
        <v>1</v>
      </c>
      <c r="D57" t="s">
        <v>24</v>
      </c>
      <c r="E57" s="1">
        <v>46177.915821076385</v>
      </c>
      <c r="F57" t="s">
        <v>202</v>
      </c>
      <c r="G57" t="s">
        <v>206</v>
      </c>
      <c r="H57" t="s">
        <v>207</v>
      </c>
      <c r="I57" t="s">
        <v>208</v>
      </c>
      <c r="J57">
        <v>1</v>
      </c>
      <c r="L57">
        <v>0</v>
      </c>
      <c r="M57">
        <v>0</v>
      </c>
      <c r="N57">
        <v>0</v>
      </c>
      <c r="O57" t="b">
        <v>1</v>
      </c>
      <c r="P57" t="s">
        <v>64</v>
      </c>
      <c r="Q57" t="s">
        <v>366</v>
      </c>
    </row>
    <row r="58" spans="1:17" x14ac:dyDescent="0.25">
      <c r="A58">
        <v>1780599544886</v>
      </c>
      <c r="B58" t="s">
        <v>55</v>
      </c>
      <c r="C58">
        <v>1</v>
      </c>
      <c r="D58" t="s">
        <v>29</v>
      </c>
      <c r="E58" s="1">
        <v>46177.91602877315</v>
      </c>
      <c r="F58" t="s">
        <v>202</v>
      </c>
      <c r="G58" t="s">
        <v>209</v>
      </c>
      <c r="H58" t="s">
        <v>210</v>
      </c>
      <c r="I58" t="s">
        <v>211</v>
      </c>
      <c r="J58">
        <v>1</v>
      </c>
      <c r="K58">
        <v>0.98</v>
      </c>
      <c r="L58">
        <v>0</v>
      </c>
      <c r="M58">
        <v>0</v>
      </c>
      <c r="N58">
        <v>0</v>
      </c>
      <c r="O58" t="b">
        <v>1</v>
      </c>
      <c r="P58" t="s">
        <v>68</v>
      </c>
      <c r="Q58" t="s">
        <v>34</v>
      </c>
    </row>
    <row r="59" spans="1:17" x14ac:dyDescent="0.25">
      <c r="A59">
        <v>1780602749112</v>
      </c>
      <c r="B59" t="s">
        <v>55</v>
      </c>
      <c r="C59">
        <v>1</v>
      </c>
      <c r="D59" t="s">
        <v>18</v>
      </c>
      <c r="E59" s="1">
        <v>46177.953114722222</v>
      </c>
      <c r="F59" t="s">
        <v>212</v>
      </c>
      <c r="G59" t="s">
        <v>213</v>
      </c>
      <c r="H59" t="s">
        <v>214</v>
      </c>
      <c r="I59" t="s">
        <v>215</v>
      </c>
      <c r="J59">
        <v>0</v>
      </c>
      <c r="L59">
        <v>0</v>
      </c>
      <c r="M59">
        <v>0</v>
      </c>
      <c r="N59">
        <v>0</v>
      </c>
      <c r="O59" t="b">
        <v>1</v>
      </c>
      <c r="P59" t="s">
        <v>60</v>
      </c>
      <c r="Q59" t="s">
        <v>366</v>
      </c>
    </row>
    <row r="60" spans="1:17" x14ac:dyDescent="0.25">
      <c r="A60">
        <v>1780602760115</v>
      </c>
      <c r="B60" t="s">
        <v>55</v>
      </c>
      <c r="C60">
        <v>1</v>
      </c>
      <c r="D60" t="s">
        <v>24</v>
      </c>
      <c r="E60" s="1">
        <v>46177.953242083335</v>
      </c>
      <c r="F60" t="s">
        <v>212</v>
      </c>
      <c r="G60" t="s">
        <v>216</v>
      </c>
      <c r="H60" t="s">
        <v>217</v>
      </c>
      <c r="I60" t="s">
        <v>218</v>
      </c>
      <c r="J60">
        <v>0.95</v>
      </c>
      <c r="L60">
        <v>0</v>
      </c>
      <c r="M60">
        <v>0</v>
      </c>
      <c r="N60">
        <v>0</v>
      </c>
      <c r="O60" t="b">
        <v>1</v>
      </c>
      <c r="P60" t="s">
        <v>64</v>
      </c>
      <c r="Q60" t="s">
        <v>366</v>
      </c>
    </row>
    <row r="61" spans="1:17" x14ac:dyDescent="0.25">
      <c r="A61">
        <v>1780602781195</v>
      </c>
      <c r="B61" t="s">
        <v>55</v>
      </c>
      <c r="C61">
        <v>1</v>
      </c>
      <c r="D61" t="s">
        <v>29</v>
      </c>
      <c r="E61" s="1">
        <v>46177.953486064813</v>
      </c>
      <c r="F61" t="s">
        <v>212</v>
      </c>
      <c r="G61" t="s">
        <v>219</v>
      </c>
      <c r="H61" t="s">
        <v>220</v>
      </c>
      <c r="I61" t="s">
        <v>221</v>
      </c>
      <c r="J61">
        <v>0.98</v>
      </c>
      <c r="K61">
        <v>0.95</v>
      </c>
      <c r="L61">
        <v>0</v>
      </c>
      <c r="M61">
        <v>0</v>
      </c>
      <c r="N61">
        <v>0</v>
      </c>
      <c r="O61" t="b">
        <v>1</v>
      </c>
      <c r="P61" t="s">
        <v>68</v>
      </c>
      <c r="Q61" t="s">
        <v>34</v>
      </c>
    </row>
    <row r="62" spans="1:17" x14ac:dyDescent="0.25">
      <c r="A62">
        <v>1780602801867</v>
      </c>
      <c r="B62" t="s">
        <v>55</v>
      </c>
      <c r="C62">
        <v>1</v>
      </c>
      <c r="D62" t="s">
        <v>18</v>
      </c>
      <c r="E62" s="1">
        <v>46177.953725312502</v>
      </c>
      <c r="F62" t="s">
        <v>222</v>
      </c>
      <c r="G62" t="s">
        <v>223</v>
      </c>
      <c r="H62" t="s">
        <v>224</v>
      </c>
      <c r="I62" t="s">
        <v>225</v>
      </c>
      <c r="J62">
        <v>1</v>
      </c>
      <c r="L62">
        <v>0</v>
      </c>
      <c r="M62">
        <v>0</v>
      </c>
      <c r="N62">
        <v>0</v>
      </c>
      <c r="O62" t="b">
        <v>1</v>
      </c>
      <c r="P62" t="s">
        <v>60</v>
      </c>
      <c r="Q62" t="s">
        <v>366</v>
      </c>
    </row>
    <row r="63" spans="1:17" x14ac:dyDescent="0.25">
      <c r="A63">
        <v>1780602822044</v>
      </c>
      <c r="B63" t="s">
        <v>55</v>
      </c>
      <c r="C63">
        <v>1</v>
      </c>
      <c r="D63" t="s">
        <v>24</v>
      </c>
      <c r="E63" s="1">
        <v>46177.953958888887</v>
      </c>
      <c r="F63" t="s">
        <v>222</v>
      </c>
      <c r="G63" t="s">
        <v>226</v>
      </c>
      <c r="H63" t="s">
        <v>227</v>
      </c>
      <c r="I63" t="s">
        <v>228</v>
      </c>
      <c r="J63">
        <v>1</v>
      </c>
      <c r="L63">
        <v>0</v>
      </c>
      <c r="M63">
        <v>0</v>
      </c>
      <c r="N63">
        <v>0</v>
      </c>
      <c r="O63" t="b">
        <v>1</v>
      </c>
      <c r="P63" t="s">
        <v>64</v>
      </c>
      <c r="Q63" t="s">
        <v>366</v>
      </c>
    </row>
    <row r="64" spans="1:17" x14ac:dyDescent="0.25">
      <c r="A64">
        <v>1780602837863</v>
      </c>
      <c r="B64" t="s">
        <v>55</v>
      </c>
      <c r="C64">
        <v>1</v>
      </c>
      <c r="D64" t="s">
        <v>29</v>
      </c>
      <c r="E64" s="1">
        <v>46177.954141967595</v>
      </c>
      <c r="F64" t="s">
        <v>222</v>
      </c>
      <c r="G64" t="s">
        <v>229</v>
      </c>
      <c r="H64" t="s">
        <v>230</v>
      </c>
      <c r="I64" t="s">
        <v>231</v>
      </c>
      <c r="J64">
        <v>1</v>
      </c>
      <c r="K64">
        <v>1</v>
      </c>
      <c r="L64">
        <v>0</v>
      </c>
      <c r="M64">
        <v>0</v>
      </c>
      <c r="N64">
        <v>0</v>
      </c>
      <c r="O64" t="b">
        <v>1</v>
      </c>
      <c r="P64" t="s">
        <v>68</v>
      </c>
      <c r="Q64" t="s">
        <v>34</v>
      </c>
    </row>
    <row r="65" spans="1:17" x14ac:dyDescent="0.25">
      <c r="A65">
        <v>1780603555118</v>
      </c>
      <c r="B65" t="s">
        <v>55</v>
      </c>
      <c r="C65">
        <v>1</v>
      </c>
      <c r="D65" t="s">
        <v>18</v>
      </c>
      <c r="E65" s="1">
        <v>46177.962443506942</v>
      </c>
      <c r="F65" t="s">
        <v>232</v>
      </c>
      <c r="G65" t="s">
        <v>233</v>
      </c>
      <c r="H65" t="s">
        <v>234</v>
      </c>
      <c r="I65" t="s">
        <v>235</v>
      </c>
      <c r="J65">
        <v>1</v>
      </c>
      <c r="L65">
        <v>0</v>
      </c>
      <c r="M65">
        <v>0</v>
      </c>
      <c r="N65">
        <v>0</v>
      </c>
      <c r="O65" t="b">
        <v>1</v>
      </c>
      <c r="P65" t="s">
        <v>60</v>
      </c>
      <c r="Q65" t="s">
        <v>366</v>
      </c>
    </row>
    <row r="66" spans="1:17" x14ac:dyDescent="0.25">
      <c r="A66">
        <v>1780603573661</v>
      </c>
      <c r="B66" t="s">
        <v>55</v>
      </c>
      <c r="C66">
        <v>1</v>
      </c>
      <c r="D66" t="s">
        <v>24</v>
      </c>
      <c r="E66" s="1">
        <v>46177.962658124998</v>
      </c>
      <c r="F66" t="s">
        <v>232</v>
      </c>
      <c r="G66" t="s">
        <v>236</v>
      </c>
      <c r="H66" t="s">
        <v>237</v>
      </c>
      <c r="I66" t="s">
        <v>238</v>
      </c>
      <c r="J66">
        <v>0.98</v>
      </c>
      <c r="L66">
        <v>0</v>
      </c>
      <c r="M66">
        <v>0</v>
      </c>
      <c r="N66">
        <v>0</v>
      </c>
      <c r="O66" t="b">
        <v>1</v>
      </c>
      <c r="P66" t="s">
        <v>64</v>
      </c>
      <c r="Q66" t="s">
        <v>366</v>
      </c>
    </row>
    <row r="67" spans="1:17" x14ac:dyDescent="0.25">
      <c r="A67">
        <v>1780603608918</v>
      </c>
      <c r="B67" t="s">
        <v>55</v>
      </c>
      <c r="C67">
        <v>1</v>
      </c>
      <c r="D67" t="s">
        <v>29</v>
      </c>
      <c r="E67" s="1">
        <v>46177.963066192133</v>
      </c>
      <c r="F67" t="s">
        <v>232</v>
      </c>
      <c r="G67" t="s">
        <v>239</v>
      </c>
      <c r="H67" t="s">
        <v>240</v>
      </c>
      <c r="I67" t="s">
        <v>241</v>
      </c>
      <c r="J67">
        <v>0.95</v>
      </c>
      <c r="K67">
        <v>0.92</v>
      </c>
      <c r="L67">
        <v>0</v>
      </c>
      <c r="M67">
        <v>0</v>
      </c>
      <c r="N67">
        <v>0</v>
      </c>
      <c r="O67" t="b">
        <v>1</v>
      </c>
      <c r="P67" t="s">
        <v>68</v>
      </c>
      <c r="Q67" t="s">
        <v>34</v>
      </c>
    </row>
    <row r="68" spans="1:17" x14ac:dyDescent="0.25">
      <c r="A68">
        <v>1780605237361</v>
      </c>
      <c r="B68" t="s">
        <v>55</v>
      </c>
      <c r="C68">
        <v>1</v>
      </c>
      <c r="D68" t="s">
        <v>18</v>
      </c>
      <c r="E68" s="1">
        <v>46177.981913912037</v>
      </c>
      <c r="F68" t="s">
        <v>242</v>
      </c>
      <c r="G68" t="s">
        <v>243</v>
      </c>
      <c r="H68" t="s">
        <v>244</v>
      </c>
      <c r="I68" t="s">
        <v>245</v>
      </c>
      <c r="J68">
        <v>0.95</v>
      </c>
      <c r="L68">
        <v>0</v>
      </c>
      <c r="M68">
        <v>0</v>
      </c>
      <c r="N68">
        <v>0</v>
      </c>
      <c r="O68" t="b">
        <v>1</v>
      </c>
      <c r="P68" t="s">
        <v>60</v>
      </c>
      <c r="Q68" t="s">
        <v>366</v>
      </c>
    </row>
    <row r="69" spans="1:17" x14ac:dyDescent="0.25">
      <c r="A69">
        <v>1780605256470</v>
      </c>
      <c r="B69" t="s">
        <v>55</v>
      </c>
      <c r="C69">
        <v>1</v>
      </c>
      <c r="D69" t="s">
        <v>24</v>
      </c>
      <c r="E69" s="1">
        <v>46177.982135069447</v>
      </c>
      <c r="F69" t="s">
        <v>242</v>
      </c>
      <c r="G69" t="s">
        <v>246</v>
      </c>
      <c r="H69" t="s">
        <v>247</v>
      </c>
      <c r="I69" t="s">
        <v>248</v>
      </c>
      <c r="J69">
        <v>0.95</v>
      </c>
      <c r="L69">
        <v>0</v>
      </c>
      <c r="M69">
        <v>0</v>
      </c>
      <c r="N69">
        <v>0</v>
      </c>
      <c r="O69" t="b">
        <v>1</v>
      </c>
      <c r="P69" t="s">
        <v>64</v>
      </c>
      <c r="Q69" t="s">
        <v>366</v>
      </c>
    </row>
    <row r="70" spans="1:17" x14ac:dyDescent="0.25">
      <c r="A70">
        <v>1780605280827</v>
      </c>
      <c r="B70" t="s">
        <v>55</v>
      </c>
      <c r="C70">
        <v>1</v>
      </c>
      <c r="D70" t="s">
        <v>29</v>
      </c>
      <c r="E70" s="1">
        <v>46177.982417002313</v>
      </c>
      <c r="F70" t="s">
        <v>242</v>
      </c>
      <c r="G70" t="s">
        <v>249</v>
      </c>
      <c r="H70" t="s">
        <v>250</v>
      </c>
      <c r="I70" t="s">
        <v>251</v>
      </c>
      <c r="J70">
        <v>0.98</v>
      </c>
      <c r="K70">
        <v>0.92</v>
      </c>
      <c r="L70">
        <v>0</v>
      </c>
      <c r="M70">
        <v>0</v>
      </c>
      <c r="N70">
        <v>0</v>
      </c>
      <c r="O70" t="b">
        <v>1</v>
      </c>
      <c r="P70" t="s">
        <v>68</v>
      </c>
      <c r="Q70" t="s">
        <v>34</v>
      </c>
    </row>
    <row r="71" spans="1:17" x14ac:dyDescent="0.25">
      <c r="A71">
        <v>1780634787426</v>
      </c>
      <c r="B71" t="s">
        <v>55</v>
      </c>
      <c r="C71">
        <v>1</v>
      </c>
      <c r="D71" t="s">
        <v>18</v>
      </c>
      <c r="E71" s="1">
        <v>46178.32392855324</v>
      </c>
      <c r="F71" t="s">
        <v>252</v>
      </c>
      <c r="G71" t="s">
        <v>253</v>
      </c>
      <c r="H71" t="s">
        <v>254</v>
      </c>
      <c r="I71" t="s">
        <v>255</v>
      </c>
      <c r="J71">
        <v>1</v>
      </c>
      <c r="L71">
        <v>0</v>
      </c>
      <c r="M71">
        <v>0</v>
      </c>
      <c r="N71">
        <v>0</v>
      </c>
      <c r="O71" t="b">
        <v>1</v>
      </c>
      <c r="P71" t="s">
        <v>60</v>
      </c>
      <c r="Q71" t="s">
        <v>366</v>
      </c>
    </row>
    <row r="72" spans="1:17" x14ac:dyDescent="0.25">
      <c r="A72">
        <v>1780634801127</v>
      </c>
      <c r="B72" t="s">
        <v>55</v>
      </c>
      <c r="C72">
        <v>1</v>
      </c>
      <c r="D72" t="s">
        <v>24</v>
      </c>
      <c r="E72" s="1">
        <v>46178.324087129629</v>
      </c>
      <c r="F72" t="s">
        <v>252</v>
      </c>
      <c r="G72" t="s">
        <v>256</v>
      </c>
      <c r="H72" t="s">
        <v>257</v>
      </c>
      <c r="I72" t="s">
        <v>258</v>
      </c>
      <c r="J72">
        <v>1</v>
      </c>
      <c r="L72">
        <v>0</v>
      </c>
      <c r="M72">
        <v>0</v>
      </c>
      <c r="N72">
        <v>0</v>
      </c>
      <c r="O72" t="b">
        <v>1</v>
      </c>
      <c r="P72" t="s">
        <v>64</v>
      </c>
      <c r="Q72" t="s">
        <v>366</v>
      </c>
    </row>
    <row r="73" spans="1:17" x14ac:dyDescent="0.25">
      <c r="A73">
        <v>1780634817329</v>
      </c>
      <c r="B73" t="s">
        <v>55</v>
      </c>
      <c r="C73">
        <v>1</v>
      </c>
      <c r="D73" t="s">
        <v>29</v>
      </c>
      <c r="E73" s="1">
        <v>46178.324274641207</v>
      </c>
      <c r="F73" t="s">
        <v>252</v>
      </c>
      <c r="G73" t="s">
        <v>259</v>
      </c>
      <c r="H73" t="s">
        <v>260</v>
      </c>
      <c r="I73" t="s">
        <v>261</v>
      </c>
      <c r="J73">
        <v>1</v>
      </c>
      <c r="K73">
        <v>0.85</v>
      </c>
      <c r="L73">
        <v>0</v>
      </c>
      <c r="M73">
        <v>0</v>
      </c>
      <c r="N73">
        <v>0</v>
      </c>
      <c r="O73" t="b">
        <v>1</v>
      </c>
      <c r="P73" t="s">
        <v>68</v>
      </c>
      <c r="Q73" t="s">
        <v>34</v>
      </c>
    </row>
    <row r="74" spans="1:17" x14ac:dyDescent="0.25">
      <c r="A74">
        <v>1780634841289</v>
      </c>
      <c r="B74" t="s">
        <v>55</v>
      </c>
      <c r="C74">
        <v>1</v>
      </c>
      <c r="D74" t="s">
        <v>18</v>
      </c>
      <c r="E74" s="1">
        <v>46178.324551967591</v>
      </c>
      <c r="F74" t="s">
        <v>262</v>
      </c>
      <c r="G74" t="s">
        <v>263</v>
      </c>
      <c r="H74" t="s">
        <v>264</v>
      </c>
      <c r="I74" t="s">
        <v>265</v>
      </c>
      <c r="J74">
        <v>1</v>
      </c>
      <c r="L74">
        <v>0</v>
      </c>
      <c r="M74">
        <v>0</v>
      </c>
      <c r="N74">
        <v>0</v>
      </c>
      <c r="O74" t="b">
        <v>1</v>
      </c>
      <c r="P74" t="s">
        <v>60</v>
      </c>
      <c r="Q74" t="s">
        <v>366</v>
      </c>
    </row>
    <row r="75" spans="1:17" x14ac:dyDescent="0.25">
      <c r="A75">
        <v>1780634854354</v>
      </c>
      <c r="B75" t="s">
        <v>55</v>
      </c>
      <c r="C75">
        <v>1</v>
      </c>
      <c r="D75" t="s">
        <v>24</v>
      </c>
      <c r="E75" s="1">
        <v>46178.324703182872</v>
      </c>
      <c r="F75" t="s">
        <v>262</v>
      </c>
      <c r="G75" t="s">
        <v>266</v>
      </c>
      <c r="H75" t="s">
        <v>267</v>
      </c>
      <c r="I75" t="s">
        <v>268</v>
      </c>
      <c r="J75">
        <v>1</v>
      </c>
      <c r="L75">
        <v>0</v>
      </c>
      <c r="M75">
        <v>0</v>
      </c>
      <c r="N75">
        <v>0</v>
      </c>
      <c r="O75" t="b">
        <v>1</v>
      </c>
      <c r="P75" t="s">
        <v>64</v>
      </c>
      <c r="Q75" t="s">
        <v>366</v>
      </c>
    </row>
    <row r="76" spans="1:17" x14ac:dyDescent="0.25">
      <c r="A76">
        <v>1780634871339</v>
      </c>
      <c r="B76" t="s">
        <v>55</v>
      </c>
      <c r="C76">
        <v>1</v>
      </c>
      <c r="D76" t="s">
        <v>29</v>
      </c>
      <c r="E76" s="1">
        <v>46178.324899756946</v>
      </c>
      <c r="F76" t="s">
        <v>262</v>
      </c>
      <c r="G76" t="s">
        <v>269</v>
      </c>
      <c r="H76" t="s">
        <v>270</v>
      </c>
      <c r="I76" t="s">
        <v>271</v>
      </c>
      <c r="J76">
        <v>1</v>
      </c>
      <c r="K76">
        <v>1</v>
      </c>
      <c r="L76">
        <v>0</v>
      </c>
      <c r="M76">
        <v>0</v>
      </c>
      <c r="N76">
        <v>0</v>
      </c>
      <c r="O76" t="b">
        <v>1</v>
      </c>
      <c r="P76" t="s">
        <v>68</v>
      </c>
      <c r="Q76" t="s">
        <v>34</v>
      </c>
    </row>
    <row r="77" spans="1:17" x14ac:dyDescent="0.25">
      <c r="A77">
        <v>1780635142656</v>
      </c>
      <c r="B77" t="s">
        <v>55</v>
      </c>
      <c r="C77">
        <v>1</v>
      </c>
      <c r="D77" t="s">
        <v>18</v>
      </c>
      <c r="E77" s="1">
        <v>46178.328040069442</v>
      </c>
      <c r="F77" t="s">
        <v>272</v>
      </c>
      <c r="G77" t="s">
        <v>273</v>
      </c>
      <c r="H77" t="s">
        <v>274</v>
      </c>
      <c r="I77" t="s">
        <v>275</v>
      </c>
      <c r="J77">
        <v>1</v>
      </c>
      <c r="L77">
        <v>0</v>
      </c>
      <c r="M77">
        <v>0</v>
      </c>
      <c r="N77">
        <v>0</v>
      </c>
      <c r="O77" t="b">
        <v>1</v>
      </c>
      <c r="P77" t="s">
        <v>60</v>
      </c>
      <c r="Q77" t="s">
        <v>366</v>
      </c>
    </row>
    <row r="78" spans="1:17" x14ac:dyDescent="0.25">
      <c r="A78">
        <v>1780635153411</v>
      </c>
      <c r="B78" t="s">
        <v>55</v>
      </c>
      <c r="C78">
        <v>1</v>
      </c>
      <c r="D78" t="s">
        <v>24</v>
      </c>
      <c r="E78" s="1">
        <v>46178.328164479164</v>
      </c>
      <c r="F78" t="s">
        <v>272</v>
      </c>
      <c r="G78" t="s">
        <v>276</v>
      </c>
      <c r="H78" t="s">
        <v>277</v>
      </c>
      <c r="I78" t="s">
        <v>278</v>
      </c>
      <c r="J78">
        <v>1</v>
      </c>
      <c r="L78">
        <v>0</v>
      </c>
      <c r="M78">
        <v>0</v>
      </c>
      <c r="N78">
        <v>0</v>
      </c>
      <c r="O78" t="b">
        <v>1</v>
      </c>
      <c r="P78" t="s">
        <v>64</v>
      </c>
      <c r="Q78" t="s">
        <v>366</v>
      </c>
    </row>
    <row r="79" spans="1:17" x14ac:dyDescent="0.25">
      <c r="A79">
        <v>1780635164675</v>
      </c>
      <c r="B79" t="s">
        <v>55</v>
      </c>
      <c r="C79">
        <v>1</v>
      </c>
      <c r="D79" t="s">
        <v>29</v>
      </c>
      <c r="E79" s="1">
        <v>46178.328294861109</v>
      </c>
      <c r="F79" t="s">
        <v>272</v>
      </c>
      <c r="G79" t="s">
        <v>279</v>
      </c>
      <c r="H79" t="s">
        <v>280</v>
      </c>
      <c r="I79" t="s">
        <v>281</v>
      </c>
      <c r="J79">
        <v>1</v>
      </c>
      <c r="K79">
        <v>0.95</v>
      </c>
      <c r="L79">
        <v>0</v>
      </c>
      <c r="M79">
        <v>0</v>
      </c>
      <c r="N79">
        <v>0</v>
      </c>
      <c r="O79" t="b">
        <v>1</v>
      </c>
      <c r="P79" t="s">
        <v>68</v>
      </c>
      <c r="Q79" t="s">
        <v>34</v>
      </c>
    </row>
    <row r="80" spans="1:17" x14ac:dyDescent="0.25">
      <c r="A80">
        <v>1780635988192</v>
      </c>
      <c r="B80" t="s">
        <v>55</v>
      </c>
      <c r="C80">
        <v>1</v>
      </c>
      <c r="D80" t="s">
        <v>18</v>
      </c>
      <c r="E80" s="1">
        <v>46178.337826296294</v>
      </c>
      <c r="F80" t="s">
        <v>282</v>
      </c>
      <c r="G80" t="s">
        <v>283</v>
      </c>
      <c r="H80" t="s">
        <v>284</v>
      </c>
      <c r="I80" t="s">
        <v>285</v>
      </c>
      <c r="J80">
        <v>1</v>
      </c>
      <c r="L80">
        <v>0</v>
      </c>
      <c r="M80">
        <v>0</v>
      </c>
      <c r="N80">
        <v>0</v>
      </c>
      <c r="O80" t="b">
        <v>1</v>
      </c>
      <c r="P80" t="s">
        <v>60</v>
      </c>
      <c r="Q80" t="s">
        <v>366</v>
      </c>
    </row>
    <row r="81" spans="1:17" x14ac:dyDescent="0.25">
      <c r="A81">
        <v>1780636001823</v>
      </c>
      <c r="B81" t="s">
        <v>55</v>
      </c>
      <c r="C81">
        <v>1</v>
      </c>
      <c r="D81" t="s">
        <v>24</v>
      </c>
      <c r="E81" s="1">
        <v>46178.337984062498</v>
      </c>
      <c r="F81" t="s">
        <v>282</v>
      </c>
      <c r="G81" t="s">
        <v>286</v>
      </c>
      <c r="H81" t="s">
        <v>287</v>
      </c>
      <c r="I81" t="s">
        <v>288</v>
      </c>
      <c r="J81">
        <v>0.95</v>
      </c>
      <c r="L81">
        <v>0</v>
      </c>
      <c r="M81">
        <v>0</v>
      </c>
      <c r="N81">
        <v>0</v>
      </c>
      <c r="O81" t="b">
        <v>1</v>
      </c>
      <c r="P81" t="s">
        <v>64</v>
      </c>
      <c r="Q81" t="s">
        <v>366</v>
      </c>
    </row>
    <row r="82" spans="1:17" x14ac:dyDescent="0.25">
      <c r="A82">
        <v>1780636024992</v>
      </c>
      <c r="B82" t="s">
        <v>55</v>
      </c>
      <c r="C82">
        <v>1</v>
      </c>
      <c r="D82" t="s">
        <v>29</v>
      </c>
      <c r="E82" s="1">
        <v>46178.3382522338</v>
      </c>
      <c r="F82" t="s">
        <v>282</v>
      </c>
      <c r="G82" t="s">
        <v>289</v>
      </c>
      <c r="H82" t="s">
        <v>290</v>
      </c>
      <c r="I82" t="s">
        <v>291</v>
      </c>
      <c r="J82">
        <v>0.9</v>
      </c>
      <c r="K82">
        <v>0.4</v>
      </c>
      <c r="L82">
        <v>0</v>
      </c>
      <c r="M82">
        <v>0</v>
      </c>
      <c r="N82">
        <v>0</v>
      </c>
      <c r="O82" t="b">
        <v>1</v>
      </c>
      <c r="P82" t="s">
        <v>68</v>
      </c>
      <c r="Q82" t="s">
        <v>34</v>
      </c>
    </row>
    <row r="83" spans="1:17" x14ac:dyDescent="0.25">
      <c r="A83">
        <v>1780636134963</v>
      </c>
      <c r="B83" t="s">
        <v>55</v>
      </c>
      <c r="C83">
        <v>1</v>
      </c>
      <c r="D83" t="s">
        <v>18</v>
      </c>
      <c r="E83" s="1">
        <v>46178.339525034724</v>
      </c>
      <c r="F83" t="s">
        <v>292</v>
      </c>
      <c r="G83" t="s">
        <v>293</v>
      </c>
      <c r="H83" t="s">
        <v>294</v>
      </c>
      <c r="I83" t="s">
        <v>295</v>
      </c>
      <c r="J83">
        <v>1</v>
      </c>
      <c r="L83">
        <v>0</v>
      </c>
      <c r="M83">
        <v>0</v>
      </c>
      <c r="N83">
        <v>0</v>
      </c>
      <c r="O83" t="b">
        <v>1</v>
      </c>
      <c r="P83" t="s">
        <v>60</v>
      </c>
      <c r="Q83" t="s">
        <v>366</v>
      </c>
    </row>
    <row r="84" spans="1:17" x14ac:dyDescent="0.25">
      <c r="A84">
        <v>1780636146258</v>
      </c>
      <c r="B84" t="s">
        <v>55</v>
      </c>
      <c r="C84">
        <v>1</v>
      </c>
      <c r="D84" t="s">
        <v>24</v>
      </c>
      <c r="E84" s="1">
        <v>46178.33965577546</v>
      </c>
      <c r="F84" t="s">
        <v>292</v>
      </c>
      <c r="G84" t="s">
        <v>296</v>
      </c>
      <c r="H84" t="s">
        <v>297</v>
      </c>
      <c r="I84" t="s">
        <v>298</v>
      </c>
      <c r="J84">
        <v>1</v>
      </c>
      <c r="L84">
        <v>0</v>
      </c>
      <c r="M84">
        <v>0</v>
      </c>
      <c r="N84">
        <v>0</v>
      </c>
      <c r="O84" t="b">
        <v>1</v>
      </c>
      <c r="P84" t="s">
        <v>64</v>
      </c>
      <c r="Q84" t="s">
        <v>366</v>
      </c>
    </row>
    <row r="85" spans="1:17" x14ac:dyDescent="0.25">
      <c r="A85">
        <v>1780636167836</v>
      </c>
      <c r="B85" t="s">
        <v>55</v>
      </c>
      <c r="C85">
        <v>1</v>
      </c>
      <c r="D85" t="s">
        <v>29</v>
      </c>
      <c r="E85" s="1">
        <v>46178.339905590277</v>
      </c>
      <c r="F85" t="s">
        <v>292</v>
      </c>
      <c r="G85" t="s">
        <v>299</v>
      </c>
      <c r="H85" t="s">
        <v>300</v>
      </c>
      <c r="I85" t="s">
        <v>301</v>
      </c>
      <c r="J85">
        <v>1</v>
      </c>
      <c r="K85">
        <v>0.95</v>
      </c>
      <c r="L85">
        <v>0</v>
      </c>
      <c r="M85">
        <v>0</v>
      </c>
      <c r="N85">
        <v>0</v>
      </c>
      <c r="O85" t="b">
        <v>1</v>
      </c>
      <c r="P85" t="s">
        <v>68</v>
      </c>
      <c r="Q85" t="s">
        <v>34</v>
      </c>
    </row>
    <row r="86" spans="1:17" x14ac:dyDescent="0.25">
      <c r="A86">
        <v>1780637184549</v>
      </c>
      <c r="B86" t="s">
        <v>55</v>
      </c>
      <c r="C86">
        <v>1</v>
      </c>
      <c r="D86" t="s">
        <v>18</v>
      </c>
      <c r="E86" s="1">
        <v>46178.351673032405</v>
      </c>
      <c r="F86" t="s">
        <v>302</v>
      </c>
      <c r="G86" t="s">
        <v>303</v>
      </c>
      <c r="H86" t="s">
        <v>304</v>
      </c>
      <c r="I86" t="s">
        <v>305</v>
      </c>
      <c r="J86">
        <v>1</v>
      </c>
      <c r="L86">
        <v>0</v>
      </c>
      <c r="M86">
        <v>0</v>
      </c>
      <c r="N86">
        <v>0</v>
      </c>
      <c r="O86" t="b">
        <v>1</v>
      </c>
      <c r="P86" t="s">
        <v>60</v>
      </c>
      <c r="Q86" t="s">
        <v>366</v>
      </c>
    </row>
    <row r="87" spans="1:17" x14ac:dyDescent="0.25">
      <c r="A87">
        <v>1780637204715</v>
      </c>
      <c r="B87" t="s">
        <v>55</v>
      </c>
      <c r="C87">
        <v>1</v>
      </c>
      <c r="D87" t="s">
        <v>24</v>
      </c>
      <c r="E87" s="1">
        <v>46178.35190642361</v>
      </c>
      <c r="F87" t="s">
        <v>302</v>
      </c>
      <c r="G87" t="s">
        <v>306</v>
      </c>
      <c r="H87" t="s">
        <v>307</v>
      </c>
      <c r="I87" t="s">
        <v>308</v>
      </c>
      <c r="J87">
        <v>1</v>
      </c>
      <c r="L87">
        <v>0</v>
      </c>
      <c r="M87">
        <v>0</v>
      </c>
      <c r="N87">
        <v>0</v>
      </c>
      <c r="O87" t="b">
        <v>1</v>
      </c>
      <c r="P87" t="s">
        <v>64</v>
      </c>
      <c r="Q87" t="s">
        <v>366</v>
      </c>
    </row>
    <row r="88" spans="1:17" x14ac:dyDescent="0.25">
      <c r="A88">
        <v>1780637219139</v>
      </c>
      <c r="B88" t="s">
        <v>55</v>
      </c>
      <c r="C88">
        <v>1</v>
      </c>
      <c r="D88" t="s">
        <v>29</v>
      </c>
      <c r="E88" s="1">
        <v>46178.352073368056</v>
      </c>
      <c r="F88" t="s">
        <v>302</v>
      </c>
      <c r="G88" t="s">
        <v>309</v>
      </c>
      <c r="H88" t="s">
        <v>310</v>
      </c>
      <c r="I88" t="s">
        <v>311</v>
      </c>
      <c r="J88">
        <v>1</v>
      </c>
      <c r="K88">
        <v>0.95</v>
      </c>
      <c r="L88">
        <v>0</v>
      </c>
      <c r="M88">
        <v>0</v>
      </c>
      <c r="N88">
        <v>0</v>
      </c>
      <c r="O88" t="b">
        <v>1</v>
      </c>
      <c r="P88" t="s">
        <v>68</v>
      </c>
      <c r="Q88" t="s">
        <v>34</v>
      </c>
    </row>
    <row r="89" spans="1:17" x14ac:dyDescent="0.25">
      <c r="A89">
        <v>1780637310429</v>
      </c>
      <c r="B89" t="s">
        <v>55</v>
      </c>
      <c r="C89">
        <v>1</v>
      </c>
      <c r="D89" t="s">
        <v>18</v>
      </c>
      <c r="E89" s="1">
        <v>46178.353129976851</v>
      </c>
      <c r="F89" t="s">
        <v>312</v>
      </c>
      <c r="G89" t="s">
        <v>313</v>
      </c>
      <c r="H89" t="s">
        <v>314</v>
      </c>
      <c r="I89" t="s">
        <v>315</v>
      </c>
      <c r="J89">
        <v>1</v>
      </c>
      <c r="L89">
        <v>0</v>
      </c>
      <c r="M89">
        <v>0</v>
      </c>
      <c r="N89">
        <v>0</v>
      </c>
      <c r="O89" t="b">
        <v>1</v>
      </c>
      <c r="P89" t="s">
        <v>60</v>
      </c>
      <c r="Q89" t="s">
        <v>366</v>
      </c>
    </row>
    <row r="90" spans="1:17" x14ac:dyDescent="0.25">
      <c r="A90">
        <v>1780637334917</v>
      </c>
      <c r="B90" t="s">
        <v>55</v>
      </c>
      <c r="C90">
        <v>1</v>
      </c>
      <c r="D90" t="s">
        <v>24</v>
      </c>
      <c r="E90" s="1">
        <v>46178.35341340278</v>
      </c>
      <c r="F90" t="s">
        <v>312</v>
      </c>
      <c r="G90" t="s">
        <v>316</v>
      </c>
      <c r="H90" t="s">
        <v>317</v>
      </c>
      <c r="I90" t="s">
        <v>318</v>
      </c>
      <c r="J90">
        <v>1</v>
      </c>
      <c r="L90">
        <v>0</v>
      </c>
      <c r="M90">
        <v>0</v>
      </c>
      <c r="N90">
        <v>0</v>
      </c>
      <c r="O90" t="b">
        <v>1</v>
      </c>
      <c r="P90" t="s">
        <v>64</v>
      </c>
      <c r="Q90" t="s">
        <v>366</v>
      </c>
    </row>
    <row r="91" spans="1:17" x14ac:dyDescent="0.25">
      <c r="A91">
        <v>1780637350432</v>
      </c>
      <c r="B91" t="s">
        <v>55</v>
      </c>
      <c r="C91">
        <v>1</v>
      </c>
      <c r="D91" t="s">
        <v>29</v>
      </c>
      <c r="E91" s="1">
        <v>46178.353592974534</v>
      </c>
      <c r="F91" t="s">
        <v>312</v>
      </c>
      <c r="G91" t="s">
        <v>319</v>
      </c>
      <c r="H91" t="s">
        <v>320</v>
      </c>
      <c r="I91" t="s">
        <v>321</v>
      </c>
      <c r="J91">
        <v>1</v>
      </c>
      <c r="K91">
        <v>0.95</v>
      </c>
      <c r="L91">
        <v>0</v>
      </c>
      <c r="M91">
        <v>0</v>
      </c>
      <c r="N91">
        <v>0</v>
      </c>
      <c r="O91" t="b">
        <v>1</v>
      </c>
      <c r="P91" t="s">
        <v>68</v>
      </c>
      <c r="Q91" t="s">
        <v>34</v>
      </c>
    </row>
    <row r="92" spans="1:17" x14ac:dyDescent="0.25">
      <c r="A92">
        <v>1780637766559</v>
      </c>
      <c r="B92" t="s">
        <v>55</v>
      </c>
      <c r="C92">
        <v>1</v>
      </c>
      <c r="D92" t="s">
        <v>18</v>
      </c>
      <c r="E92" s="1">
        <v>46178.358409270833</v>
      </c>
      <c r="F92" t="s">
        <v>322</v>
      </c>
      <c r="G92" t="s">
        <v>323</v>
      </c>
      <c r="H92" t="s">
        <v>324</v>
      </c>
      <c r="I92" t="s">
        <v>325</v>
      </c>
      <c r="J92">
        <v>1</v>
      </c>
      <c r="L92">
        <v>0</v>
      </c>
      <c r="M92">
        <v>0</v>
      </c>
      <c r="N92">
        <v>0</v>
      </c>
      <c r="O92" t="b">
        <v>1</v>
      </c>
      <c r="P92" t="s">
        <v>60</v>
      </c>
      <c r="Q92" t="s">
        <v>366</v>
      </c>
    </row>
    <row r="93" spans="1:17" x14ac:dyDescent="0.25">
      <c r="A93">
        <v>1780637782144</v>
      </c>
      <c r="B93" t="s">
        <v>55</v>
      </c>
      <c r="C93">
        <v>1</v>
      </c>
      <c r="D93" t="s">
        <v>24</v>
      </c>
      <c r="E93" s="1">
        <v>46178.358589629628</v>
      </c>
      <c r="F93" t="s">
        <v>322</v>
      </c>
      <c r="G93" t="s">
        <v>326</v>
      </c>
      <c r="H93" t="s">
        <v>327</v>
      </c>
      <c r="I93" t="s">
        <v>328</v>
      </c>
      <c r="J93">
        <v>1</v>
      </c>
      <c r="L93">
        <v>0</v>
      </c>
      <c r="M93">
        <v>0</v>
      </c>
      <c r="N93">
        <v>0</v>
      </c>
      <c r="O93" t="b">
        <v>1</v>
      </c>
      <c r="P93" t="s">
        <v>64</v>
      </c>
      <c r="Q93" t="s">
        <v>366</v>
      </c>
    </row>
    <row r="94" spans="1:17" x14ac:dyDescent="0.25">
      <c r="A94">
        <v>1780637799178</v>
      </c>
      <c r="B94" t="s">
        <v>55</v>
      </c>
      <c r="C94">
        <v>1</v>
      </c>
      <c r="D94" t="s">
        <v>29</v>
      </c>
      <c r="E94" s="1">
        <v>46178.358786793979</v>
      </c>
      <c r="F94" t="s">
        <v>322</v>
      </c>
      <c r="G94" t="s">
        <v>329</v>
      </c>
      <c r="H94" t="s">
        <v>330</v>
      </c>
      <c r="I94" t="s">
        <v>331</v>
      </c>
      <c r="J94">
        <v>1</v>
      </c>
      <c r="K94">
        <v>0.95</v>
      </c>
      <c r="L94">
        <v>0</v>
      </c>
      <c r="M94">
        <v>0</v>
      </c>
      <c r="N94">
        <v>0</v>
      </c>
      <c r="O94" t="b">
        <v>1</v>
      </c>
      <c r="P94" t="s">
        <v>68</v>
      </c>
      <c r="Q94" t="s">
        <v>34</v>
      </c>
    </row>
    <row r="95" spans="1:17" x14ac:dyDescent="0.25">
      <c r="A95">
        <v>1780637843444</v>
      </c>
      <c r="B95" t="s">
        <v>55</v>
      </c>
      <c r="C95">
        <v>1</v>
      </c>
      <c r="D95" t="s">
        <v>18</v>
      </c>
      <c r="E95" s="1">
        <v>46178.35929912037</v>
      </c>
      <c r="F95" t="s">
        <v>332</v>
      </c>
      <c r="G95" t="s">
        <v>333</v>
      </c>
      <c r="H95" t="s">
        <v>334</v>
      </c>
      <c r="I95" t="s">
        <v>335</v>
      </c>
      <c r="J95">
        <v>1</v>
      </c>
      <c r="L95">
        <v>0</v>
      </c>
      <c r="M95">
        <v>0</v>
      </c>
      <c r="N95">
        <v>0</v>
      </c>
      <c r="O95" t="b">
        <v>1</v>
      </c>
      <c r="P95" t="s">
        <v>60</v>
      </c>
      <c r="Q95" t="s">
        <v>366</v>
      </c>
    </row>
    <row r="96" spans="1:17" x14ac:dyDescent="0.25">
      <c r="A96">
        <v>1780637855951</v>
      </c>
      <c r="B96" t="s">
        <v>55</v>
      </c>
      <c r="C96">
        <v>1</v>
      </c>
      <c r="D96" t="s">
        <v>24</v>
      </c>
      <c r="E96" s="1">
        <v>46178.359443877314</v>
      </c>
      <c r="F96" t="s">
        <v>332</v>
      </c>
      <c r="G96" t="s">
        <v>336</v>
      </c>
      <c r="H96" t="s">
        <v>337</v>
      </c>
      <c r="I96" t="s">
        <v>338</v>
      </c>
      <c r="J96">
        <v>1</v>
      </c>
      <c r="L96">
        <v>0</v>
      </c>
      <c r="M96">
        <v>0</v>
      </c>
      <c r="N96">
        <v>0</v>
      </c>
      <c r="O96" t="b">
        <v>1</v>
      </c>
      <c r="P96" t="s">
        <v>64</v>
      </c>
      <c r="Q96" t="s">
        <v>366</v>
      </c>
    </row>
    <row r="97" spans="1:17" x14ac:dyDescent="0.25">
      <c r="A97">
        <v>1780637879625</v>
      </c>
      <c r="B97" t="s">
        <v>55</v>
      </c>
      <c r="C97">
        <v>1</v>
      </c>
      <c r="D97" t="s">
        <v>29</v>
      </c>
      <c r="E97" s="1">
        <v>46178.359717881947</v>
      </c>
      <c r="F97" t="s">
        <v>332</v>
      </c>
      <c r="G97" t="s">
        <v>339</v>
      </c>
      <c r="H97" t="s">
        <v>340</v>
      </c>
      <c r="I97" t="s">
        <v>341</v>
      </c>
      <c r="J97">
        <v>1</v>
      </c>
      <c r="K97">
        <v>0.95</v>
      </c>
      <c r="L97">
        <v>0</v>
      </c>
      <c r="M97">
        <v>0</v>
      </c>
      <c r="N97">
        <v>0</v>
      </c>
      <c r="O97" t="b">
        <v>1</v>
      </c>
      <c r="P97" t="s">
        <v>68</v>
      </c>
      <c r="Q97" t="s">
        <v>34</v>
      </c>
    </row>
    <row r="98" spans="1:17" x14ac:dyDescent="0.25">
      <c r="A98">
        <v>1780641143921</v>
      </c>
      <c r="B98" t="s">
        <v>55</v>
      </c>
      <c r="C98">
        <v>1</v>
      </c>
      <c r="D98" t="s">
        <v>18</v>
      </c>
      <c r="E98" s="1">
        <v>46178.39749909722</v>
      </c>
      <c r="F98" t="s">
        <v>342</v>
      </c>
      <c r="G98" t="s">
        <v>343</v>
      </c>
      <c r="H98" t="s">
        <v>344</v>
      </c>
      <c r="I98" t="s">
        <v>345</v>
      </c>
      <c r="J98">
        <v>0.95</v>
      </c>
      <c r="L98">
        <v>0</v>
      </c>
      <c r="M98">
        <v>0</v>
      </c>
      <c r="N98">
        <v>0</v>
      </c>
      <c r="O98" t="b">
        <v>1</v>
      </c>
      <c r="P98" t="s">
        <v>60</v>
      </c>
      <c r="Q98" t="s">
        <v>366</v>
      </c>
    </row>
    <row r="99" spans="1:17" x14ac:dyDescent="0.25">
      <c r="A99">
        <v>1780641162554</v>
      </c>
      <c r="B99" t="s">
        <v>55</v>
      </c>
      <c r="C99">
        <v>1</v>
      </c>
      <c r="D99" t="s">
        <v>24</v>
      </c>
      <c r="E99" s="1">
        <v>46178.39771474537</v>
      </c>
      <c r="F99" t="s">
        <v>342</v>
      </c>
      <c r="G99" t="s">
        <v>346</v>
      </c>
      <c r="H99" t="s">
        <v>347</v>
      </c>
      <c r="I99" t="s">
        <v>348</v>
      </c>
      <c r="J99">
        <v>0.95</v>
      </c>
      <c r="L99">
        <v>0</v>
      </c>
      <c r="M99">
        <v>0</v>
      </c>
      <c r="N99">
        <v>0</v>
      </c>
      <c r="O99" t="b">
        <v>1</v>
      </c>
      <c r="P99" t="s">
        <v>64</v>
      </c>
      <c r="Q99" t="s">
        <v>366</v>
      </c>
    </row>
    <row r="100" spans="1:17" x14ac:dyDescent="0.25">
      <c r="A100">
        <v>1780641179538</v>
      </c>
      <c r="B100" t="s">
        <v>55</v>
      </c>
      <c r="C100">
        <v>1</v>
      </c>
      <c r="D100" t="s">
        <v>29</v>
      </c>
      <c r="E100" s="1">
        <v>46178.397911354165</v>
      </c>
      <c r="F100" t="s">
        <v>342</v>
      </c>
      <c r="G100" t="s">
        <v>396</v>
      </c>
      <c r="H100" t="s">
        <v>349</v>
      </c>
      <c r="I100" t="s">
        <v>397</v>
      </c>
      <c r="J100">
        <v>0.95</v>
      </c>
      <c r="K100">
        <v>0.85</v>
      </c>
      <c r="L100">
        <v>0</v>
      </c>
      <c r="M100">
        <v>0</v>
      </c>
      <c r="N100">
        <v>0</v>
      </c>
      <c r="O100" t="b">
        <v>1</v>
      </c>
      <c r="P100" t="s">
        <v>68</v>
      </c>
      <c r="Q100" t="s">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475E-08D1-44A3-B359-2B972CFA1D76}">
  <dimension ref="A1:E33"/>
  <sheetViews>
    <sheetView workbookViewId="0">
      <selection activeCell="B9" sqref="B9"/>
    </sheetView>
  </sheetViews>
  <sheetFormatPr defaultRowHeight="15" x14ac:dyDescent="0.25"/>
  <cols>
    <col min="1" max="1" width="9.5703125" bestFit="1" customWidth="1"/>
    <col min="2" max="2" width="72.42578125" bestFit="1" customWidth="1"/>
    <col min="3" max="3" width="11" bestFit="1" customWidth="1"/>
    <col min="4" max="4" width="11.28515625" bestFit="1" customWidth="1"/>
    <col min="5" max="5" width="28.7109375" bestFit="1" customWidth="1"/>
  </cols>
  <sheetData>
    <row r="1" spans="1:5" x14ac:dyDescent="0.25">
      <c r="A1" t="s">
        <v>2</v>
      </c>
      <c r="B1" t="s">
        <v>352</v>
      </c>
      <c r="C1" t="s">
        <v>350</v>
      </c>
      <c r="D1" t="s">
        <v>351</v>
      </c>
      <c r="E1" t="s">
        <v>353</v>
      </c>
    </row>
    <row r="2" spans="1:5" x14ac:dyDescent="0.25">
      <c r="A2">
        <v>1</v>
      </c>
      <c r="B2" s="5" t="s">
        <v>56</v>
      </c>
      <c r="C2" t="s">
        <v>354</v>
      </c>
      <c r="D2" t="s">
        <v>355</v>
      </c>
      <c r="E2" t="s">
        <v>356</v>
      </c>
    </row>
    <row r="3" spans="1:5" x14ac:dyDescent="0.25">
      <c r="A3">
        <v>2</v>
      </c>
      <c r="B3" s="4" t="s">
        <v>69</v>
      </c>
      <c r="C3" t="s">
        <v>354</v>
      </c>
      <c r="D3" t="s">
        <v>355</v>
      </c>
      <c r="E3" t="s">
        <v>357</v>
      </c>
    </row>
    <row r="4" spans="1:5" x14ac:dyDescent="0.25">
      <c r="A4">
        <v>3</v>
      </c>
      <c r="B4" s="4" t="s">
        <v>79</v>
      </c>
      <c r="C4" t="s">
        <v>354</v>
      </c>
      <c r="D4" t="s">
        <v>355</v>
      </c>
      <c r="E4" t="s">
        <v>358</v>
      </c>
    </row>
    <row r="5" spans="1:5" x14ac:dyDescent="0.25">
      <c r="A5">
        <v>4</v>
      </c>
      <c r="B5" s="4" t="s">
        <v>89</v>
      </c>
      <c r="C5" t="s">
        <v>354</v>
      </c>
      <c r="D5" t="s">
        <v>359</v>
      </c>
      <c r="E5" t="s">
        <v>360</v>
      </c>
    </row>
    <row r="6" spans="1:5" x14ac:dyDescent="0.25">
      <c r="A6">
        <v>5</v>
      </c>
      <c r="B6" s="4" t="s">
        <v>99</v>
      </c>
      <c r="C6" t="s">
        <v>354</v>
      </c>
      <c r="D6" t="s">
        <v>359</v>
      </c>
      <c r="E6" t="s">
        <v>361</v>
      </c>
    </row>
    <row r="7" spans="1:5" x14ac:dyDescent="0.25">
      <c r="A7">
        <v>6</v>
      </c>
      <c r="B7" s="4" t="s">
        <v>109</v>
      </c>
      <c r="C7" t="s">
        <v>354</v>
      </c>
      <c r="D7" t="s">
        <v>359</v>
      </c>
      <c r="E7" t="s">
        <v>356</v>
      </c>
    </row>
    <row r="8" spans="1:5" x14ac:dyDescent="0.25">
      <c r="A8">
        <v>7</v>
      </c>
      <c r="B8" s="4" t="s">
        <v>117</v>
      </c>
      <c r="C8" t="s">
        <v>354</v>
      </c>
      <c r="D8" t="s">
        <v>359</v>
      </c>
      <c r="E8" t="s">
        <v>357</v>
      </c>
    </row>
    <row r="9" spans="1:5" x14ac:dyDescent="0.25">
      <c r="A9">
        <v>8</v>
      </c>
      <c r="B9" s="4" t="s">
        <v>125</v>
      </c>
      <c r="C9" t="s">
        <v>354</v>
      </c>
      <c r="D9" t="s">
        <v>362</v>
      </c>
      <c r="E9" t="s">
        <v>363</v>
      </c>
    </row>
    <row r="10" spans="1:5" x14ac:dyDescent="0.25">
      <c r="A10">
        <v>9</v>
      </c>
      <c r="B10" s="4" t="s">
        <v>132</v>
      </c>
      <c r="C10" t="s">
        <v>354</v>
      </c>
      <c r="D10" t="s">
        <v>362</v>
      </c>
      <c r="E10" t="s">
        <v>364</v>
      </c>
    </row>
    <row r="11" spans="1:5" x14ac:dyDescent="0.25">
      <c r="A11">
        <v>10</v>
      </c>
      <c r="B11" s="4" t="s">
        <v>140</v>
      </c>
      <c r="C11" t="s">
        <v>354</v>
      </c>
      <c r="D11" t="s">
        <v>362</v>
      </c>
      <c r="E11" t="s">
        <v>365</v>
      </c>
    </row>
    <row r="12" spans="1:5" x14ac:dyDescent="0.25">
      <c r="B12" s="5" t="s">
        <v>366</v>
      </c>
      <c r="C12" t="s">
        <v>366</v>
      </c>
      <c r="D12" t="s">
        <v>366</v>
      </c>
      <c r="E12" t="s">
        <v>366</v>
      </c>
    </row>
    <row r="13" spans="1:5" x14ac:dyDescent="0.25">
      <c r="A13">
        <v>11</v>
      </c>
      <c r="B13" s="4" t="s">
        <v>154</v>
      </c>
      <c r="C13" t="s">
        <v>367</v>
      </c>
      <c r="D13" t="s">
        <v>355</v>
      </c>
      <c r="E13" t="s">
        <v>368</v>
      </c>
    </row>
    <row r="14" spans="1:5" x14ac:dyDescent="0.25">
      <c r="A14">
        <v>12</v>
      </c>
      <c r="B14" s="4" t="s">
        <v>164</v>
      </c>
      <c r="C14" t="s">
        <v>367</v>
      </c>
      <c r="D14" t="s">
        <v>355</v>
      </c>
      <c r="E14" t="s">
        <v>369</v>
      </c>
    </row>
    <row r="15" spans="1:5" x14ac:dyDescent="0.25">
      <c r="A15">
        <v>13</v>
      </c>
      <c r="B15" s="4" t="s">
        <v>174</v>
      </c>
      <c r="C15" t="s">
        <v>367</v>
      </c>
      <c r="D15" t="s">
        <v>359</v>
      </c>
      <c r="E15" t="s">
        <v>370</v>
      </c>
    </row>
    <row r="16" spans="1:5" x14ac:dyDescent="0.25">
      <c r="A16">
        <v>14</v>
      </c>
      <c r="B16" s="4" t="s">
        <v>184</v>
      </c>
      <c r="C16" t="s">
        <v>367</v>
      </c>
      <c r="D16" t="s">
        <v>359</v>
      </c>
      <c r="E16" t="s">
        <v>371</v>
      </c>
    </row>
    <row r="17" spans="1:5" x14ac:dyDescent="0.25">
      <c r="A17">
        <v>15</v>
      </c>
      <c r="B17" s="4" t="s">
        <v>194</v>
      </c>
      <c r="C17" t="s">
        <v>367</v>
      </c>
      <c r="D17" t="s">
        <v>359</v>
      </c>
      <c r="E17" t="s">
        <v>372</v>
      </c>
    </row>
    <row r="18" spans="1:5" x14ac:dyDescent="0.25">
      <c r="A18">
        <v>16</v>
      </c>
      <c r="B18" s="4" t="s">
        <v>202</v>
      </c>
      <c r="C18" t="s">
        <v>367</v>
      </c>
      <c r="D18" t="s">
        <v>359</v>
      </c>
      <c r="E18" t="s">
        <v>373</v>
      </c>
    </row>
    <row r="19" spans="1:5" x14ac:dyDescent="0.25">
      <c r="A19">
        <v>17</v>
      </c>
      <c r="B19" s="4" t="s">
        <v>212</v>
      </c>
      <c r="C19" t="s">
        <v>367</v>
      </c>
      <c r="D19" t="s">
        <v>362</v>
      </c>
      <c r="E19" t="s">
        <v>374</v>
      </c>
    </row>
    <row r="20" spans="1:5" x14ac:dyDescent="0.25">
      <c r="A20">
        <v>18</v>
      </c>
      <c r="B20" s="4" t="s">
        <v>222</v>
      </c>
      <c r="C20" t="s">
        <v>367</v>
      </c>
      <c r="D20" t="s">
        <v>362</v>
      </c>
      <c r="E20" t="s">
        <v>375</v>
      </c>
    </row>
    <row r="21" spans="1:5" x14ac:dyDescent="0.25">
      <c r="A21">
        <v>19</v>
      </c>
      <c r="B21" s="4" t="s">
        <v>232</v>
      </c>
      <c r="C21" t="s">
        <v>367</v>
      </c>
      <c r="D21" t="s">
        <v>362</v>
      </c>
      <c r="E21" t="s">
        <v>376</v>
      </c>
    </row>
    <row r="22" spans="1:5" x14ac:dyDescent="0.25">
      <c r="A22">
        <v>20</v>
      </c>
      <c r="B22" s="4" t="s">
        <v>242</v>
      </c>
      <c r="C22" t="s">
        <v>367</v>
      </c>
      <c r="D22" t="s">
        <v>362</v>
      </c>
      <c r="E22" t="s">
        <v>377</v>
      </c>
    </row>
    <row r="23" spans="1:5" x14ac:dyDescent="0.25">
      <c r="B23" s="5" t="s">
        <v>366</v>
      </c>
      <c r="C23" t="s">
        <v>366</v>
      </c>
      <c r="D23" t="s">
        <v>366</v>
      </c>
      <c r="E23" t="s">
        <v>366</v>
      </c>
    </row>
    <row r="24" spans="1:5" x14ac:dyDescent="0.25">
      <c r="A24">
        <v>21</v>
      </c>
      <c r="B24" s="4" t="s">
        <v>252</v>
      </c>
      <c r="C24" t="s">
        <v>378</v>
      </c>
      <c r="D24" t="s">
        <v>355</v>
      </c>
      <c r="E24" t="s">
        <v>379</v>
      </c>
    </row>
    <row r="25" spans="1:5" x14ac:dyDescent="0.25">
      <c r="A25">
        <v>22</v>
      </c>
      <c r="B25" s="4" t="s">
        <v>262</v>
      </c>
      <c r="C25" t="s">
        <v>378</v>
      </c>
      <c r="D25" t="s">
        <v>355</v>
      </c>
      <c r="E25" t="s">
        <v>380</v>
      </c>
    </row>
    <row r="26" spans="1:5" x14ac:dyDescent="0.25">
      <c r="A26">
        <v>23</v>
      </c>
      <c r="B26" s="4" t="s">
        <v>272</v>
      </c>
      <c r="C26" t="s">
        <v>378</v>
      </c>
      <c r="D26" t="s">
        <v>359</v>
      </c>
      <c r="E26" t="s">
        <v>381</v>
      </c>
    </row>
    <row r="27" spans="1:5" x14ac:dyDescent="0.25">
      <c r="A27">
        <v>24</v>
      </c>
      <c r="B27" s="4" t="s">
        <v>282</v>
      </c>
      <c r="C27" t="s">
        <v>378</v>
      </c>
      <c r="D27" t="s">
        <v>359</v>
      </c>
      <c r="E27" t="s">
        <v>382</v>
      </c>
    </row>
    <row r="28" spans="1:5" x14ac:dyDescent="0.25">
      <c r="A28">
        <v>25</v>
      </c>
      <c r="B28" s="4" t="s">
        <v>292</v>
      </c>
      <c r="C28" t="s">
        <v>378</v>
      </c>
      <c r="D28" t="s">
        <v>359</v>
      </c>
      <c r="E28" t="s">
        <v>383</v>
      </c>
    </row>
    <row r="29" spans="1:5" x14ac:dyDescent="0.25">
      <c r="A29">
        <v>26</v>
      </c>
      <c r="B29" s="4" t="s">
        <v>302</v>
      </c>
      <c r="C29" t="s">
        <v>378</v>
      </c>
      <c r="D29" t="s">
        <v>362</v>
      </c>
      <c r="E29" t="s">
        <v>384</v>
      </c>
    </row>
    <row r="30" spans="1:5" x14ac:dyDescent="0.25">
      <c r="A30">
        <v>27</v>
      </c>
      <c r="B30" s="4" t="s">
        <v>312</v>
      </c>
      <c r="C30" t="s">
        <v>378</v>
      </c>
      <c r="D30" t="s">
        <v>362</v>
      </c>
      <c r="E30" t="s">
        <v>385</v>
      </c>
    </row>
    <row r="31" spans="1:5" x14ac:dyDescent="0.25">
      <c r="A31">
        <v>28</v>
      </c>
      <c r="B31" s="4" t="s">
        <v>322</v>
      </c>
      <c r="C31" t="s">
        <v>378</v>
      </c>
      <c r="D31" t="s">
        <v>362</v>
      </c>
      <c r="E31" t="s">
        <v>386</v>
      </c>
    </row>
    <row r="32" spans="1:5" x14ac:dyDescent="0.25">
      <c r="A32">
        <v>29</v>
      </c>
      <c r="B32" s="4" t="s">
        <v>332</v>
      </c>
      <c r="C32" t="s">
        <v>378</v>
      </c>
      <c r="D32" t="s">
        <v>362</v>
      </c>
      <c r="E32" t="s">
        <v>387</v>
      </c>
    </row>
    <row r="33" spans="1:5" x14ac:dyDescent="0.25">
      <c r="A33">
        <v>30</v>
      </c>
      <c r="B33" s="4" t="s">
        <v>342</v>
      </c>
      <c r="C33" t="s">
        <v>378</v>
      </c>
      <c r="D33" t="s">
        <v>362</v>
      </c>
      <c r="E33" t="s">
        <v>370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34B7D-42A0-4A79-BB0E-B0BA2775AC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main_001_analysis_dataset</vt:lpstr>
      <vt:lpstr>Workflow_Summary</vt:lpstr>
      <vt:lpstr>Category Analysis</vt:lpstr>
      <vt:lpstr>Difficulty Analysis</vt:lpstr>
      <vt:lpstr>Improvement</vt:lpstr>
      <vt:lpstr>Key Findings</vt:lpstr>
      <vt:lpstr>main_001_90runs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2026-06-05T09:45:20Z</dcterms:created>
  <dcterms:modified xsi:type="dcterms:W3CDTF">2026-06-08T12:58:06Z</dcterms:modified>
</cp:coreProperties>
</file>